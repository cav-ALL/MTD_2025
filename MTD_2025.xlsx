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iego\Documents\Vscode\Projects\MTD_2025\"/>
    </mc:Choice>
  </mc:AlternateContent>
  <xr:revisionPtr revIDLastSave="0" documentId="13_ncr:1_{572FB754-F31A-49F0-8EA3-C5A494F606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" sheetId="5" r:id="rId1"/>
    <sheet name="MNIST" sheetId="1" r:id="rId2"/>
    <sheet name="CIFAR10" sheetId="2" r:id="rId3"/>
    <sheet name="CIFAR100" sheetId="3" r:id="rId4"/>
  </sheets>
  <definedNames>
    <definedName name="_xlchart.v1.0" hidden="1">GLOBAL!$L$6:$L$20</definedName>
    <definedName name="_xlchart.v1.1" hidden="1">GLOBAL!$M$6:$M$20</definedName>
    <definedName name="_xlchart.v1.10" hidden="1">GLOBAL!$M$23</definedName>
    <definedName name="_xlchart.v1.11" hidden="1">GLOBAL!$M$24:$M$28</definedName>
    <definedName name="_xlchart.v1.12" hidden="1">GLOBAL!$N$23</definedName>
    <definedName name="_xlchart.v1.13" hidden="1">GLOBAL!$N$24:$N$28</definedName>
    <definedName name="_xlchart.v1.14" hidden="1">GLOBAL!$O$23</definedName>
    <definedName name="_xlchart.v1.15" hidden="1">GLOBAL!$O$24:$O$28</definedName>
    <definedName name="_xlchart.v1.16" hidden="1">GLOBAL!$M$30</definedName>
    <definedName name="_xlchart.v1.17" hidden="1">GLOBAL!$M$31:$M$35</definedName>
    <definedName name="_xlchart.v1.18" hidden="1">GLOBAL!$N$30</definedName>
    <definedName name="_xlchart.v1.19" hidden="1">GLOBAL!$N$31:$N$35</definedName>
    <definedName name="_xlchart.v1.2" hidden="1">GLOBAL!$N$6:$N$20</definedName>
    <definedName name="_xlchart.v1.20" hidden="1">GLOBAL!$O$30</definedName>
    <definedName name="_xlchart.v1.21" hidden="1">GLOBAL!$O$31:$O$35</definedName>
    <definedName name="_xlchart.v1.3" hidden="1">GLOBAL!$O$6:$O$20</definedName>
    <definedName name="_xlchart.v1.4" hidden="1">GLOBAL!$M$5</definedName>
    <definedName name="_xlchart.v1.5" hidden="1">GLOBAL!$M$6:$M$10</definedName>
    <definedName name="_xlchart.v1.6" hidden="1">GLOBAL!$N$5</definedName>
    <definedName name="_xlchart.v1.7" hidden="1">GLOBAL!$N$6:$N$10</definedName>
    <definedName name="_xlchart.v1.8" hidden="1">GLOBAL!$O$5</definedName>
    <definedName name="_xlchart.v1.9" hidden="1">GLOBAL!$O$6:$O$10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2" i="5" l="1"/>
  <c r="R52" i="5"/>
  <c r="P52" i="5"/>
  <c r="Q48" i="5"/>
  <c r="R48" i="5"/>
  <c r="Q49" i="5"/>
  <c r="R49" i="5"/>
  <c r="Q50" i="5"/>
  <c r="R50" i="5"/>
  <c r="P49" i="5"/>
  <c r="P50" i="5"/>
  <c r="P48" i="5"/>
  <c r="C32" i="1"/>
  <c r="C32" i="2"/>
  <c r="C32" i="3"/>
  <c r="T44" i="5"/>
  <c r="S44" i="5"/>
  <c r="R44" i="5"/>
  <c r="T43" i="5"/>
  <c r="S43" i="5"/>
  <c r="R43" i="5"/>
  <c r="T42" i="5"/>
  <c r="S42" i="5"/>
  <c r="R42" i="5"/>
  <c r="O42" i="5"/>
  <c r="N42" i="5"/>
  <c r="N43" i="5"/>
  <c r="O43" i="5"/>
  <c r="N44" i="5"/>
  <c r="O44" i="5"/>
  <c r="M44" i="5"/>
  <c r="M42" i="5"/>
  <c r="M43" i="5"/>
  <c r="E25" i="1" l="1"/>
  <c r="E24" i="1"/>
  <c r="E23" i="1"/>
  <c r="E22" i="1"/>
  <c r="E21" i="1"/>
  <c r="E22" i="2"/>
  <c r="E23" i="2"/>
  <c r="E24" i="2"/>
  <c r="E25" i="2"/>
  <c r="E27" i="2" s="1"/>
  <c r="E21" i="2"/>
  <c r="E22" i="3"/>
  <c r="E23" i="3"/>
  <c r="E24" i="3"/>
  <c r="E25" i="3"/>
  <c r="D26" i="1"/>
  <c r="E26" i="1"/>
  <c r="F26" i="1"/>
  <c r="D27" i="1"/>
  <c r="F27" i="1"/>
  <c r="C27" i="1"/>
  <c r="C26" i="1"/>
  <c r="D27" i="2"/>
  <c r="F27" i="2"/>
  <c r="C27" i="2"/>
  <c r="D26" i="2"/>
  <c r="E26" i="2"/>
  <c r="F26" i="2"/>
  <c r="C26" i="2"/>
  <c r="E15" i="3"/>
  <c r="E16" i="3"/>
  <c r="E17" i="3"/>
  <c r="E18" i="3"/>
  <c r="D20" i="3"/>
  <c r="F20" i="3"/>
  <c r="C20" i="3"/>
  <c r="D19" i="3"/>
  <c r="F19" i="3"/>
  <c r="C19" i="3"/>
  <c r="E14" i="3"/>
  <c r="E20" i="3" s="1"/>
  <c r="E15" i="2"/>
  <c r="E16" i="2"/>
  <c r="E17" i="2"/>
  <c r="E18" i="2"/>
  <c r="E14" i="2"/>
  <c r="D19" i="2"/>
  <c r="E19" i="2"/>
  <c r="F19" i="2"/>
  <c r="D20" i="2"/>
  <c r="E20" i="2"/>
  <c r="F20" i="2"/>
  <c r="C20" i="2"/>
  <c r="C19" i="2"/>
  <c r="E15" i="1"/>
  <c r="E16" i="1"/>
  <c r="E17" i="1"/>
  <c r="E18" i="1"/>
  <c r="E14" i="1"/>
  <c r="D20" i="1"/>
  <c r="E20" i="1"/>
  <c r="F20" i="1"/>
  <c r="C20" i="1"/>
  <c r="D19" i="1"/>
  <c r="E19" i="1"/>
  <c r="F19" i="1"/>
  <c r="C19" i="1"/>
  <c r="C27" i="3"/>
  <c r="F27" i="3"/>
  <c r="C26" i="3"/>
  <c r="F26" i="3"/>
  <c r="E21" i="3"/>
  <c r="D27" i="3"/>
  <c r="D26" i="3"/>
  <c r="E8" i="1"/>
  <c r="E9" i="1"/>
  <c r="E10" i="1"/>
  <c r="E11" i="1"/>
  <c r="E7" i="1"/>
  <c r="F13" i="3"/>
  <c r="D13" i="3"/>
  <c r="C13" i="3"/>
  <c r="F12" i="3"/>
  <c r="D12" i="3"/>
  <c r="C12" i="3"/>
  <c r="E11" i="3"/>
  <c r="E10" i="3"/>
  <c r="E9" i="3"/>
  <c r="E8" i="3"/>
  <c r="E7" i="3"/>
  <c r="E8" i="2"/>
  <c r="E9" i="2"/>
  <c r="E10" i="2"/>
  <c r="E11" i="2"/>
  <c r="E7" i="2"/>
  <c r="F13" i="2"/>
  <c r="E13" i="2"/>
  <c r="D13" i="2"/>
  <c r="C13" i="2"/>
  <c r="F12" i="2"/>
  <c r="E12" i="2"/>
  <c r="D12" i="2"/>
  <c r="C12" i="2"/>
  <c r="D13" i="1"/>
  <c r="E13" i="1"/>
  <c r="F13" i="1"/>
  <c r="C13" i="1"/>
  <c r="D12" i="1"/>
  <c r="E12" i="1"/>
  <c r="F12" i="1"/>
  <c r="C12" i="1"/>
  <c r="E27" i="1" l="1"/>
  <c r="E19" i="3"/>
  <c r="E27" i="3"/>
  <c r="E26" i="3"/>
  <c r="E13" i="3"/>
  <c r="E12" i="3"/>
</calcChain>
</file>

<file path=xl/sharedStrings.xml><?xml version="1.0" encoding="utf-8"?>
<sst xmlns="http://schemas.openxmlformats.org/spreadsheetml/2006/main" count="179" uniqueCount="17">
  <si>
    <t>Epochs</t>
  </si>
  <si>
    <t>Test #</t>
  </si>
  <si>
    <t>Time (seconds)</t>
  </si>
  <si>
    <t>Average* W(CPU + GPU - base W)</t>
  </si>
  <si>
    <t>Energy used (Joules)</t>
  </si>
  <si>
    <t>Accuracy</t>
  </si>
  <si>
    <t>CNN</t>
  </si>
  <si>
    <t>AVG</t>
  </si>
  <si>
    <t>STD DEV</t>
  </si>
  <si>
    <t>MLP</t>
  </si>
  <si>
    <t>RESNET-18</t>
  </si>
  <si>
    <t>*Estimated through MSI Afterburner's plots</t>
  </si>
  <si>
    <t>NN</t>
  </si>
  <si>
    <t>RESNET</t>
  </si>
  <si>
    <t>MNIST</t>
  </si>
  <si>
    <t>CIFAR10</t>
  </si>
  <si>
    <t>CIFAR100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</si>
</sst>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i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43AEE2"/>
        <bgColor rgb="FF000000"/>
      </patternFill>
    </fill>
    <fill>
      <patternFill patternType="solid">
        <fgColor rgb="FF82CAEC"/>
        <bgColor rgb="FF000000"/>
      </patternFill>
    </fill>
    <fill>
      <patternFill patternType="solid">
        <fgColor rgb="FFC0E4F5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2" xfId="0" applyBorder="1"/>
    <xf numFmtId="10" fontId="0" fillId="0" borderId="6" xfId="0" applyNumberFormat="1" applyBorder="1"/>
    <xf numFmtId="10" fontId="0" fillId="0" borderId="7" xfId="0" applyNumberFormat="1" applyBorder="1"/>
    <xf numFmtId="0" fontId="2" fillId="2" borderId="2" xfId="1" applyBorder="1"/>
    <xf numFmtId="10" fontId="2" fillId="2" borderId="6" xfId="1" applyNumberFormat="1" applyBorder="1"/>
    <xf numFmtId="0" fontId="2" fillId="2" borderId="9" xfId="1" applyBorder="1"/>
    <xf numFmtId="10" fontId="2" fillId="2" borderId="8" xfId="1" applyNumberFormat="1" applyBorder="1"/>
    <xf numFmtId="0" fontId="5" fillId="0" borderId="0" xfId="0" applyFont="1"/>
    <xf numFmtId="0" fontId="6" fillId="8" borderId="2" xfId="0" applyFont="1" applyFill="1" applyBorder="1"/>
    <xf numFmtId="0" fontId="6" fillId="8" borderId="9" xfId="0" applyFont="1" applyFill="1" applyBorder="1"/>
    <xf numFmtId="0" fontId="3" fillId="3" borderId="1" xfId="2" applyFont="1" applyBorder="1"/>
    <xf numFmtId="0" fontId="3" fillId="3" borderId="2" xfId="2" applyFont="1" applyBorder="1"/>
    <xf numFmtId="0" fontId="3" fillId="3" borderId="6" xfId="2" applyFont="1" applyBorder="1"/>
    <xf numFmtId="0" fontId="3" fillId="5" borderId="3" xfId="4" applyFont="1" applyBorder="1"/>
    <xf numFmtId="0" fontId="3" fillId="5" borderId="4" xfId="4" applyFont="1" applyBorder="1"/>
    <xf numFmtId="0" fontId="3" fillId="3" borderId="3" xfId="2" applyFont="1" applyBorder="1"/>
    <xf numFmtId="0" fontId="3" fillId="3" borderId="5" xfId="2" applyFont="1" applyBorder="1"/>
    <xf numFmtId="0" fontId="8" fillId="7" borderId="3" xfId="0" applyFont="1" applyFill="1" applyBorder="1"/>
    <xf numFmtId="0" fontId="8" fillId="7" borderId="4" xfId="0" applyFont="1" applyFill="1" applyBorder="1"/>
    <xf numFmtId="0" fontId="8" fillId="6" borderId="3" xfId="0" applyFont="1" applyFill="1" applyBorder="1"/>
    <xf numFmtId="0" fontId="8" fillId="6" borderId="5" xfId="0" applyFont="1" applyFill="1" applyBorder="1"/>
    <xf numFmtId="0" fontId="8" fillId="6" borderId="1" xfId="0" applyFont="1" applyFill="1" applyBorder="1"/>
    <xf numFmtId="0" fontId="8" fillId="6" borderId="2" xfId="0" applyFont="1" applyFill="1" applyBorder="1"/>
    <xf numFmtId="0" fontId="2" fillId="3" borderId="10" xfId="2" applyBorder="1"/>
    <xf numFmtId="0" fontId="2" fillId="2" borderId="11" xfId="1" applyBorder="1"/>
    <xf numFmtId="0" fontId="2" fillId="3" borderId="11" xfId="2" applyBorder="1"/>
    <xf numFmtId="0" fontId="2" fillId="2" borderId="12" xfId="1" applyBorder="1"/>
    <xf numFmtId="0" fontId="8" fillId="6" borderId="13" xfId="0" applyFont="1" applyFill="1" applyBorder="1"/>
    <xf numFmtId="0" fontId="3" fillId="3" borderId="13" xfId="2" applyFont="1" applyBorder="1"/>
    <xf numFmtId="0" fontId="7" fillId="4" borderId="3" xfId="3" applyFont="1" applyBorder="1" applyAlignment="1">
      <alignment vertical="center"/>
    </xf>
    <xf numFmtId="10" fontId="0" fillId="0" borderId="0" xfId="5" applyNumberFormat="1" applyFont="1"/>
    <xf numFmtId="10" fontId="0" fillId="0" borderId="15" xfId="0" applyNumberFormat="1" applyBorder="1"/>
    <xf numFmtId="10" fontId="0" fillId="0" borderId="14" xfId="0" applyNumberFormat="1" applyBorder="1"/>
    <xf numFmtId="10" fontId="2" fillId="2" borderId="16" xfId="1" applyNumberFormat="1" applyBorder="1"/>
    <xf numFmtId="10" fontId="2" fillId="2" borderId="14" xfId="1" applyNumberFormat="1" applyBorder="1"/>
    <xf numFmtId="10" fontId="5" fillId="0" borderId="15" xfId="0" applyNumberFormat="1" applyFont="1" applyBorder="1"/>
    <xf numFmtId="0" fontId="8" fillId="6" borderId="17" xfId="0" applyFont="1" applyFill="1" applyBorder="1"/>
    <xf numFmtId="0" fontId="8" fillId="6" borderId="18" xfId="0" applyFont="1" applyFill="1" applyBorder="1"/>
    <xf numFmtId="0" fontId="3" fillId="5" borderId="19" xfId="4" applyFont="1" applyBorder="1"/>
    <xf numFmtId="0" fontId="2" fillId="2" borderId="0" xfId="1" applyBorder="1"/>
    <xf numFmtId="10" fontId="2" fillId="2" borderId="15" xfId="1" applyNumberFormat="1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0" fontId="0" fillId="0" borderId="22" xfId="0" applyNumberFormat="1" applyBorder="1"/>
    <xf numFmtId="10" fontId="0" fillId="0" borderId="26" xfId="0" applyNumberFormat="1" applyBorder="1"/>
    <xf numFmtId="10" fontId="6" fillId="8" borderId="16" xfId="0" applyNumberFormat="1" applyFont="1" applyFill="1" applyBorder="1"/>
    <xf numFmtId="10" fontId="6" fillId="8" borderId="14" xfId="0" applyNumberFormat="1" applyFont="1" applyFill="1" applyBorder="1"/>
    <xf numFmtId="0" fontId="8" fillId="7" borderId="19" xfId="0" applyFont="1" applyFill="1" applyBorder="1"/>
    <xf numFmtId="0" fontId="6" fillId="8" borderId="0" xfId="0" applyFont="1" applyFill="1"/>
    <xf numFmtId="10" fontId="6" fillId="8" borderId="15" xfId="0" applyNumberFormat="1" applyFont="1" applyFill="1" applyBorder="1"/>
    <xf numFmtId="164" fontId="0" fillId="0" borderId="0" xfId="6" applyNumberFormat="1" applyFont="1"/>
    <xf numFmtId="164" fontId="2" fillId="2" borderId="2" xfId="6" applyNumberFormat="1" applyFont="1" applyFill="1" applyBorder="1"/>
    <xf numFmtId="164" fontId="2" fillId="2" borderId="9" xfId="6" applyNumberFormat="1" applyFont="1" applyFill="1" applyBorder="1"/>
    <xf numFmtId="2" fontId="0" fillId="0" borderId="0" xfId="0" applyNumberFormat="1"/>
    <xf numFmtId="43" fontId="0" fillId="0" borderId="0" xfId="6" applyFont="1"/>
    <xf numFmtId="43" fontId="0" fillId="0" borderId="22" xfId="6" applyFont="1" applyBorder="1"/>
    <xf numFmtId="43" fontId="0" fillId="0" borderId="15" xfId="6" applyFont="1" applyBorder="1"/>
    <xf numFmtId="43" fontId="0" fillId="0" borderId="26" xfId="6" applyFont="1" applyBorder="1"/>
    <xf numFmtId="0" fontId="0" fillId="0" borderId="0" xfId="0" applyAlignment="1">
      <alignment horizontal="center" wrapText="1"/>
    </xf>
  </cellXfs>
  <cellStyles count="7">
    <cellStyle name="20% - Accent1" xfId="1" builtinId="30"/>
    <cellStyle name="40% - Accent1" xfId="4" builtinId="31"/>
    <cellStyle name="60% - Accent1" xfId="2" builtinId="32"/>
    <cellStyle name="Accent1" xfId="3" builtinId="29"/>
    <cellStyle name="Comma" xfId="6" builtinId="3"/>
    <cellStyle name="Normal" xfId="0" builtinId="0"/>
    <cellStyle name="Percent" xfId="5" builtinId="5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Accuracy over used energy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MLP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GLOBAL!$R$6:$R$10</c:f>
              <c:numCache>
                <c:formatCode>_(* #,##0.00_);_(* \(#,##0.00\);_(* "-"??_);_(@_)</c:formatCode>
                <c:ptCount val="5"/>
                <c:pt idx="0">
                  <c:v>472.3494</c:v>
                </c:pt>
                <c:pt idx="1">
                  <c:v>490.38990000000001</c:v>
                </c:pt>
                <c:pt idx="2">
                  <c:v>496.52519999999998</c:v>
                </c:pt>
                <c:pt idx="3">
                  <c:v>488.34199999999998</c:v>
                </c:pt>
                <c:pt idx="4">
                  <c:v>506.02140000000003</c:v>
                </c:pt>
              </c:numCache>
            </c:numRef>
          </c:xVal>
          <c:yVal>
            <c:numRef>
              <c:f>GLOBAL!$M$6:$M$10</c:f>
              <c:numCache>
                <c:formatCode>0.00%</c:formatCode>
                <c:ptCount val="5"/>
                <c:pt idx="0">
                  <c:v>0.95796999999999999</c:v>
                </c:pt>
                <c:pt idx="1">
                  <c:v>0.95104999999999995</c:v>
                </c:pt>
                <c:pt idx="2">
                  <c:v>0.94906000000000001</c:v>
                </c:pt>
                <c:pt idx="3">
                  <c:v>0.95250000000000001</c:v>
                </c:pt>
                <c:pt idx="4">
                  <c:v>0.96092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66-4B4B-8D12-F191A54A6767}"/>
            </c:ext>
          </c:extLst>
        </c:ser>
        <c:ser>
          <c:idx val="1"/>
          <c:order val="1"/>
          <c:tx>
            <c:v>CNN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xVal>
            <c:numRef>
              <c:f>GLOBAL!$S$6:$S$10</c:f>
              <c:numCache>
                <c:formatCode>_(* #,##0.00_);_(* \(#,##0.00\);_(* "-"??_);_(@_)</c:formatCode>
                <c:ptCount val="5"/>
                <c:pt idx="0">
                  <c:v>645.86260000000004</c:v>
                </c:pt>
                <c:pt idx="1">
                  <c:v>646.6404</c:v>
                </c:pt>
                <c:pt idx="2">
                  <c:v>652.29919999999993</c:v>
                </c:pt>
                <c:pt idx="3">
                  <c:v>686.78399999999999</c:v>
                </c:pt>
                <c:pt idx="4">
                  <c:v>662.71040000000005</c:v>
                </c:pt>
              </c:numCache>
            </c:numRef>
          </c:xVal>
          <c:yVal>
            <c:numRef>
              <c:f>GLOBAL!$N$6:$N$10</c:f>
              <c:numCache>
                <c:formatCode>0.00%</c:formatCode>
                <c:ptCount val="5"/>
                <c:pt idx="0">
                  <c:v>0.97799999999999998</c:v>
                </c:pt>
                <c:pt idx="1">
                  <c:v>0.96951670000000001</c:v>
                </c:pt>
                <c:pt idx="2">
                  <c:v>0.98361670000000001</c:v>
                </c:pt>
                <c:pt idx="3">
                  <c:v>0.98463400000000001</c:v>
                </c:pt>
                <c:pt idx="4">
                  <c:v>0.98465000000000003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66-4B4B-8D12-F191A54A6767}"/>
            </c:ext>
          </c:extLst>
        </c:ser>
        <c:ser>
          <c:idx val="2"/>
          <c:order val="2"/>
          <c:tx>
            <c:v>ResNet-18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xVal>
            <c:numRef>
              <c:f>GLOBAL!$T$6:$T$10</c:f>
              <c:numCache>
                <c:formatCode>_(* #,##0.00_);_(* \(#,##0.00\);_(* "-"??_);_(@_)</c:formatCode>
                <c:ptCount val="5"/>
                <c:pt idx="0">
                  <c:v>25808.720300000001</c:v>
                </c:pt>
                <c:pt idx="1">
                  <c:v>25925.084699999999</c:v>
                </c:pt>
                <c:pt idx="2">
                  <c:v>26637.750700000001</c:v>
                </c:pt>
                <c:pt idx="3">
                  <c:v>26279.435400000002</c:v>
                </c:pt>
                <c:pt idx="4">
                  <c:v>25764.280300000002</c:v>
                </c:pt>
              </c:numCache>
            </c:numRef>
          </c:xVal>
          <c:yVal>
            <c:numRef>
              <c:f>GLOBAL!$O$6:$O$10</c:f>
              <c:numCache>
                <c:formatCode>0.00%</c:formatCode>
                <c:ptCount val="5"/>
                <c:pt idx="0">
                  <c:v>0.98485</c:v>
                </c:pt>
                <c:pt idx="1">
                  <c:v>0.98023000000000005</c:v>
                </c:pt>
                <c:pt idx="2">
                  <c:v>0.98751999999999995</c:v>
                </c:pt>
                <c:pt idx="3">
                  <c:v>0.98323000000000005</c:v>
                </c:pt>
                <c:pt idx="4">
                  <c:v>0.98951999999999996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66-4B4B-8D12-F191A54A6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550543"/>
        <c:axId val="1124534223"/>
      </c:scatterChart>
      <c:valAx>
        <c:axId val="112455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used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34223"/>
        <c:crosses val="autoZero"/>
        <c:crossBetween val="midCat"/>
        <c:majorUnit val="3500"/>
      </c:valAx>
      <c:valAx>
        <c:axId val="112453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505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MLP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GLOBAL!$R$24:$R$28</c:f>
              <c:numCache>
                <c:formatCode>_(* #,##0.00_);_(* \(#,##0.00\);_(* "-"??_);_(@_)</c:formatCode>
                <c:ptCount val="5"/>
                <c:pt idx="0">
                  <c:v>2597.5892000000003</c:v>
                </c:pt>
                <c:pt idx="1">
                  <c:v>2615.6130000000003</c:v>
                </c:pt>
                <c:pt idx="2">
                  <c:v>2629.99</c:v>
                </c:pt>
                <c:pt idx="3">
                  <c:v>2695.7507999999998</c:v>
                </c:pt>
                <c:pt idx="4">
                  <c:v>2646.8458000000001</c:v>
                </c:pt>
              </c:numCache>
            </c:numRef>
          </c:xVal>
          <c:yVal>
            <c:numRef>
              <c:f>GLOBAL!$M$24:$M$28</c:f>
              <c:numCache>
                <c:formatCode>0.00%</c:formatCode>
                <c:ptCount val="5"/>
                <c:pt idx="0">
                  <c:v>0.42558000000000001</c:v>
                </c:pt>
                <c:pt idx="1">
                  <c:v>0.4219</c:v>
                </c:pt>
                <c:pt idx="2">
                  <c:v>0.42796000000000001</c:v>
                </c:pt>
                <c:pt idx="3">
                  <c:v>0.43668000000000001</c:v>
                </c:pt>
                <c:pt idx="4">
                  <c:v>0.42558000000000001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2-4B86-958E-B462C534C2CE}"/>
            </c:ext>
          </c:extLst>
        </c:ser>
        <c:ser>
          <c:idx val="1"/>
          <c:order val="1"/>
          <c:tx>
            <c:v>CNN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GLOBAL!$S$24:$S$28</c:f>
              <c:numCache>
                <c:formatCode>_(* #,##0.00_);_(* \(#,##0.00\);_(* "-"??_);_(@_)</c:formatCode>
                <c:ptCount val="5"/>
                <c:pt idx="0">
                  <c:v>3340.0242000000003</c:v>
                </c:pt>
                <c:pt idx="1">
                  <c:v>3268.837</c:v>
                </c:pt>
                <c:pt idx="2">
                  <c:v>3344.7112000000002</c:v>
                </c:pt>
                <c:pt idx="3">
                  <c:v>3249.5574999999999</c:v>
                </c:pt>
                <c:pt idx="4">
                  <c:v>3216.8111999999996</c:v>
                </c:pt>
              </c:numCache>
            </c:numRef>
          </c:xVal>
          <c:yVal>
            <c:numRef>
              <c:f>GLOBAL!$N$24:$N$28</c:f>
              <c:numCache>
                <c:formatCode>0.00%</c:formatCode>
                <c:ptCount val="5"/>
                <c:pt idx="0">
                  <c:v>0.59211999999999998</c:v>
                </c:pt>
                <c:pt idx="1">
                  <c:v>0.59199999999999997</c:v>
                </c:pt>
                <c:pt idx="2">
                  <c:v>0.59275999999999995</c:v>
                </c:pt>
                <c:pt idx="3">
                  <c:v>0.59489999999999998</c:v>
                </c:pt>
                <c:pt idx="4">
                  <c:v>0.57767999999999997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2-4B86-958E-B462C534C2CE}"/>
            </c:ext>
          </c:extLst>
        </c:ser>
        <c:ser>
          <c:idx val="2"/>
          <c:order val="2"/>
          <c:tx>
            <c:v>ResNet-18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GLOBAL!$T$24:$T$28</c:f>
              <c:numCache>
                <c:formatCode>_(* #,##0.00_);_(* \(#,##0.00\);_(* "-"??_);_(@_)</c:formatCode>
                <c:ptCount val="5"/>
                <c:pt idx="0">
                  <c:v>131587.87600000002</c:v>
                </c:pt>
                <c:pt idx="1">
                  <c:v>130909.30599999998</c:v>
                </c:pt>
                <c:pt idx="2">
                  <c:v>129065.30399999999</c:v>
                </c:pt>
                <c:pt idx="3">
                  <c:v>125967.626</c:v>
                </c:pt>
                <c:pt idx="4">
                  <c:v>125672.97600000001</c:v>
                </c:pt>
              </c:numCache>
            </c:numRef>
          </c:xVal>
          <c:yVal>
            <c:numRef>
              <c:f>GLOBAL!$O$24:$O$28</c:f>
              <c:numCache>
                <c:formatCode>0.00%</c:formatCode>
                <c:ptCount val="5"/>
                <c:pt idx="0">
                  <c:v>0.69606000000000001</c:v>
                </c:pt>
                <c:pt idx="1">
                  <c:v>0.70364000000000004</c:v>
                </c:pt>
                <c:pt idx="2">
                  <c:v>0.71728000000000003</c:v>
                </c:pt>
                <c:pt idx="3">
                  <c:v>0.71479999999999999</c:v>
                </c:pt>
                <c:pt idx="4">
                  <c:v>0.73358000000000001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E2-4B86-958E-B462C534C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550543"/>
        <c:axId val="1124534223"/>
      </c:scatterChart>
      <c:valAx>
        <c:axId val="112455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used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34223"/>
        <c:crosses val="autoZero"/>
        <c:crossBetween val="midCat"/>
      </c:valAx>
      <c:valAx>
        <c:axId val="1124534223"/>
        <c:scaling>
          <c:orientation val="minMax"/>
          <c:max val="0.75000000000000011"/>
          <c:min val="0.3500000000000000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505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Accuracy over energy used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MLP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xVal>
            <c:numRef>
              <c:f>GLOBAL!$R$31:$R$35</c:f>
              <c:numCache>
                <c:formatCode>_(* #,##0.00_);_(* \(#,##0.00\);_(* "-"??_);_(@_)</c:formatCode>
                <c:ptCount val="5"/>
                <c:pt idx="0">
                  <c:v>6637.5852999999997</c:v>
                </c:pt>
                <c:pt idx="1">
                  <c:v>6661.7039999999997</c:v>
                </c:pt>
                <c:pt idx="2">
                  <c:v>6283.0973999999997</c:v>
                </c:pt>
                <c:pt idx="3">
                  <c:v>6629.2352999999994</c:v>
                </c:pt>
                <c:pt idx="4">
                  <c:v>6485.6275000000005</c:v>
                </c:pt>
              </c:numCache>
            </c:numRef>
          </c:xVal>
          <c:yVal>
            <c:numRef>
              <c:f>GLOBAL!$M$31:$M$35</c:f>
              <c:numCache>
                <c:formatCode>0.00%</c:formatCode>
                <c:ptCount val="5"/>
                <c:pt idx="0">
                  <c:v>0.14152000000000001</c:v>
                </c:pt>
                <c:pt idx="1">
                  <c:v>0.14566000000000001</c:v>
                </c:pt>
                <c:pt idx="2">
                  <c:v>0.1484</c:v>
                </c:pt>
                <c:pt idx="3">
                  <c:v>0.15104000000000001</c:v>
                </c:pt>
                <c:pt idx="4">
                  <c:v>0.15068000000000001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DD-4FFF-9FC5-6547D2F31E86}"/>
            </c:ext>
          </c:extLst>
        </c:ser>
        <c:ser>
          <c:idx val="1"/>
          <c:order val="1"/>
          <c:tx>
            <c:v>CNN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xVal>
            <c:numRef>
              <c:f>GLOBAL!$S$31:$S$35</c:f>
              <c:numCache>
                <c:formatCode>_(* #,##0.00_);_(* \(#,##0.00\);_(* "-"??_);_(@_)</c:formatCode>
                <c:ptCount val="5"/>
                <c:pt idx="0">
                  <c:v>7972.7319000000007</c:v>
                </c:pt>
                <c:pt idx="1">
                  <c:v>8151.5667999999996</c:v>
                </c:pt>
                <c:pt idx="2">
                  <c:v>8386.5390000000007</c:v>
                </c:pt>
                <c:pt idx="3">
                  <c:v>8281.4526000000005</c:v>
                </c:pt>
                <c:pt idx="4">
                  <c:v>8448.9944000000014</c:v>
                </c:pt>
              </c:numCache>
            </c:numRef>
          </c:xVal>
          <c:yVal>
            <c:numRef>
              <c:f>GLOBAL!$N$31:$N$35</c:f>
              <c:numCache>
                <c:formatCode>0.00%</c:formatCode>
                <c:ptCount val="5"/>
                <c:pt idx="0">
                  <c:v>0.21504000000000001</c:v>
                </c:pt>
                <c:pt idx="1">
                  <c:v>0.20785999999999999</c:v>
                </c:pt>
                <c:pt idx="2">
                  <c:v>0.20391999999999999</c:v>
                </c:pt>
                <c:pt idx="3">
                  <c:v>0.2059</c:v>
                </c:pt>
                <c:pt idx="4">
                  <c:v>0.20172000000000001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DD-4FFF-9FC5-6547D2F31E86}"/>
            </c:ext>
          </c:extLst>
        </c:ser>
        <c:ser>
          <c:idx val="2"/>
          <c:order val="2"/>
          <c:tx>
            <c:v>ResNet-18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lt1"/>
              </a:solidFill>
              <a:ln w="15875">
                <a:solidFill>
                  <a:schemeClr val="dk1">
                    <a:tint val="75000"/>
                  </a:schemeClr>
                </a:solidFill>
                <a:round/>
              </a:ln>
              <a:effectLst/>
            </c:spPr>
          </c:marker>
          <c:xVal>
            <c:numRef>
              <c:f>GLOBAL!$T$31:$T$35</c:f>
              <c:numCache>
                <c:formatCode>_(* #,##0.00_);_(* \(#,##0.00\);_(* "-"??_);_(@_)</c:formatCode>
                <c:ptCount val="5"/>
                <c:pt idx="0">
                  <c:v>333859.96299999999</c:v>
                </c:pt>
                <c:pt idx="1">
                  <c:v>326162.473</c:v>
                </c:pt>
                <c:pt idx="2">
                  <c:v>340349.97599999997</c:v>
                </c:pt>
                <c:pt idx="3">
                  <c:v>318932.64</c:v>
                </c:pt>
                <c:pt idx="4">
                  <c:v>310033.141</c:v>
                </c:pt>
              </c:numCache>
            </c:numRef>
          </c:xVal>
          <c:yVal>
            <c:numRef>
              <c:f>GLOBAL!$O$31:$O$35</c:f>
              <c:numCache>
                <c:formatCode>0.00%</c:formatCode>
                <c:ptCount val="5"/>
                <c:pt idx="0">
                  <c:v>0.31286000000000003</c:v>
                </c:pt>
                <c:pt idx="1">
                  <c:v>0.32181999999999999</c:v>
                </c:pt>
                <c:pt idx="2">
                  <c:v>0.3165</c:v>
                </c:pt>
                <c:pt idx="3">
                  <c:v>0.33235999999999999</c:v>
                </c:pt>
                <c:pt idx="4">
                  <c:v>0.31991999999999998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DD-4FFF-9FC5-6547D2F31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550543"/>
        <c:axId val="1124534223"/>
      </c:scatterChart>
      <c:valAx>
        <c:axId val="1124550543"/>
        <c:scaling>
          <c:orientation val="minMax"/>
          <c:max val="3500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used (J)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34223"/>
        <c:crosses val="autoZero"/>
        <c:crossBetween val="midCat"/>
      </c:valAx>
      <c:valAx>
        <c:axId val="1124534223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55054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</cx:chartData>
  <cx:chart>
    <cx:plotArea>
      <cx:plotAreaRegion>
        <cx:series layoutId="boxWhisker" uniqueId="{1AB7D9E8-D4E2-4C72-BDC5-A9AD95EE95B0}">
          <cx:tx>
            <cx:txData>
              <cx:f/>
              <cx:v>MLP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AAAD8E81-5775-481F-B473-FCE4DA44872C}">
          <cx:tx>
            <cx:txData>
              <cx:f/>
              <cx:v>CNN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A1F3E258-8243-4130-94C8-F09ED292F634}">
          <cx:tx>
            <cx:txData>
              <cx:f/>
              <cx:v>RESNET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 min="0.10000000000000001"/>
        <cx:title>
          <cx:tx>
            <cx:txData>
              <cx:v>Model accuracy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Model accuracy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  <cx:data id="2">
      <cx:numDim type="val">
        <cx:f>_xlchart.v1.9</cx:f>
      </cx:numDim>
    </cx:data>
  </cx:chartData>
  <cx:chart>
    <cx:title pos="t" align="ctr" overlay="0">
      <cx:tx>
        <cx:txData>
          <cx:v>Accuracy by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0F0302020204030204"/>
            </a:rPr>
            <a:t>Accuracy by dataset</a:t>
          </a:r>
        </a:p>
      </cx:txPr>
    </cx:title>
    <cx:plotArea>
      <cx:plotAreaRegion>
        <cx:series layoutId="boxWhisker" uniqueId="{62E5E8A4-1C1A-4F0E-958B-89A04985F94D}">
          <cx:tx>
            <cx:txData>
              <cx:f>_xlchart.v1.4</cx:f>
              <cx:v>MLP</cx:v>
            </cx:txData>
          </cx:tx>
          <cx:dataId val="0"/>
          <cx:layoutPr>
            <cx:statistics quartileMethod="exclusive"/>
          </cx:layoutPr>
        </cx:series>
        <cx:series layoutId="boxWhisker" uniqueId="{25338216-CBD4-4339-AA45-E05E776EBB33}">
          <cx:tx>
            <cx:txData>
              <cx:f>_xlchart.v1.6</cx:f>
              <cx:v>CNN</cx:v>
            </cx:txData>
          </cx:tx>
          <cx:dataId val="1"/>
          <cx:layoutPr>
            <cx:statistics quartileMethod="exclusive"/>
          </cx:layoutPr>
        </cx:series>
        <cx:series layoutId="boxWhisker" uniqueId="{6B781F31-D08F-4641-804E-E68F0685EED5}">
          <cx:tx>
            <cx:txData>
              <cx:f>_xlchart.v1.8</cx:f>
              <cx:v>RESNET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1" min="0.93000000000000005"/>
        <cx:majorGridlines/>
        <cx:min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</cx:chartData>
  <cx:chart>
    <cx:title pos="t" align="ctr" overlay="0">
      <cx:tx>
        <cx:txData>
          <cx:v>Accuracy by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0F0302020204030204"/>
            </a:rPr>
            <a:t>Accuracy by dataset</a:t>
          </a:r>
        </a:p>
      </cx:txPr>
    </cx:title>
    <cx:plotArea>
      <cx:plotAreaRegion>
        <cx:series layoutId="boxWhisker" uniqueId="{97D44300-416A-4300-8484-B1DD3893D7DD}">
          <cx:tx>
            <cx:txData>
              <cx:f>_xlchart.v1.10</cx:f>
              <cx:v>MLP</cx:v>
            </cx:txData>
          </cx:tx>
          <cx:dataId val="0"/>
          <cx:layoutPr>
            <cx:statistics quartileMethod="exclusive"/>
          </cx:layoutPr>
        </cx:series>
        <cx:series layoutId="boxWhisker" uniqueId="{786BFA6C-9B71-482A-882D-2A12B49800A8}">
          <cx:tx>
            <cx:txData>
              <cx:f>_xlchart.v1.12</cx:f>
              <cx:v>CNN</cx:v>
            </cx:txData>
          </cx:tx>
          <cx:dataId val="1"/>
          <cx:layoutPr>
            <cx:statistics quartileMethod="exclusive"/>
          </cx:layoutPr>
        </cx:series>
        <cx:series layoutId="boxWhisker" uniqueId="{3F0E56A4-0169-472D-AB4D-700140736DDB}">
          <cx:tx>
            <cx:txData>
              <cx:f>_xlchart.v1.14</cx:f>
              <cx:v>RESNET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ax="0.75000000000000011" min="0.35000000000000003"/>
        <cx:majorGridlines/>
        <cx:min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_xlchart.v1.17</cx:f>
      </cx:numDim>
    </cx:data>
    <cx:data id="1">
      <cx:numDim type="val">
        <cx:f>_xlchart.v1.19</cx:f>
      </cx:numDim>
    </cx:data>
    <cx:data id="2">
      <cx:numDim type="val">
        <cx:f>_xlchart.v1.21</cx:f>
      </cx:numDim>
    </cx:data>
  </cx:chartData>
  <cx:chart>
    <cx:title pos="t" align="ctr" overlay="0">
      <cx:tx>
        <cx:txData>
          <cx:v>Accuracy by dataset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Display" panose="020F0302020204030204"/>
            </a:rPr>
            <a:t>Accuracy by dataset</a:t>
          </a:r>
        </a:p>
      </cx:txPr>
    </cx:title>
    <cx:plotArea>
      <cx:plotAreaRegion>
        <cx:series layoutId="boxWhisker" uniqueId="{7822728C-3250-4F1A-B04C-F4F4735CF63A}">
          <cx:tx>
            <cx:txData>
              <cx:f>_xlchart.v1.16</cx:f>
              <cx:v>MLP</cx:v>
            </cx:txData>
          </cx:tx>
          <cx:dataId val="0"/>
          <cx:layoutPr>
            <cx:statistics quartileMethod="exclusive"/>
          </cx:layoutPr>
        </cx:series>
        <cx:series layoutId="boxWhisker" uniqueId="{E7D34A0F-AEA9-42D3-9CA0-D09AEAAC7B48}">
          <cx:tx>
            <cx:txData>
              <cx:f>_xlchart.v1.18</cx:f>
              <cx:v>CNN</cx:v>
            </cx:txData>
          </cx:tx>
          <cx:dataId val="1"/>
          <cx:layoutPr>
            <cx:statistics quartileMethod="exclusive"/>
          </cx:layoutPr>
        </cx:series>
        <cx:series layoutId="boxWhisker" uniqueId="{07A9782B-8CAC-4CAD-9546-92C4F6AAAC4A}">
          <cx:tx>
            <cx:txData>
              <cx:f>_xlchart.v1.20</cx:f>
              <cx:v>RESNET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.5"/>
        <cx:tickLabels/>
      </cx:axis>
      <cx:axis id="1">
        <cx:valScaling min="0.10000000000000001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280738</xdr:colOff>
      <xdr:row>3</xdr:row>
      <xdr:rowOff>136357</xdr:rowOff>
    </xdr:from>
    <xdr:to>
      <xdr:col>9</xdr:col>
      <xdr:colOff>585538</xdr:colOff>
      <xdr:row>18</xdr:row>
      <xdr:rowOff>112294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CF9273B-4E47-61D2-C053-A8FA137EB8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9938" y="684997"/>
              <a:ext cx="4572000" cy="27191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686873</xdr:colOff>
      <xdr:row>6</xdr:row>
      <xdr:rowOff>21465</xdr:rowOff>
    </xdr:from>
    <xdr:to>
      <xdr:col>13</xdr:col>
      <xdr:colOff>270036</xdr:colOff>
      <xdr:row>20</xdr:row>
      <xdr:rowOff>176353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22DEC56-6D74-423E-8AAD-D1CAC585A7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3013" y="1118745"/>
              <a:ext cx="4581883" cy="27152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697604</xdr:colOff>
      <xdr:row>21</xdr:row>
      <xdr:rowOff>42930</xdr:rowOff>
    </xdr:from>
    <xdr:to>
      <xdr:col>14</xdr:col>
      <xdr:colOff>525886</xdr:colOff>
      <xdr:row>36</xdr:row>
      <xdr:rowOff>21465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E2EAAB-8AB2-472D-83FB-2ED918A64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41189</xdr:colOff>
      <xdr:row>5</xdr:row>
      <xdr:rowOff>102972</xdr:rowOff>
    </xdr:from>
    <xdr:to>
      <xdr:col>14</xdr:col>
      <xdr:colOff>378967</xdr:colOff>
      <xdr:row>20</xdr:row>
      <xdr:rowOff>82158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DEF978-945C-4320-8225-127B99F7D9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9729" y="1017372"/>
              <a:ext cx="4604978" cy="2722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556054</xdr:colOff>
      <xdr:row>21</xdr:row>
      <xdr:rowOff>61783</xdr:rowOff>
    </xdr:from>
    <xdr:to>
      <xdr:col>15</xdr:col>
      <xdr:colOff>102973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4ED42E-D880-4D5F-A6BB-2B77C3A05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8758</xdr:colOff>
      <xdr:row>5</xdr:row>
      <xdr:rowOff>8759</xdr:rowOff>
    </xdr:from>
    <xdr:to>
      <xdr:col>14</xdr:col>
      <xdr:colOff>312225</xdr:colOff>
      <xdr:row>19</xdr:row>
      <xdr:rowOff>142922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D3BC18-B03D-4E86-A561-7E63A8E810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7798" y="923159"/>
              <a:ext cx="4570667" cy="26944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362263</xdr:colOff>
      <xdr:row>21</xdr:row>
      <xdr:rowOff>99936</xdr:rowOff>
    </xdr:from>
    <xdr:to>
      <xdr:col>16</xdr:col>
      <xdr:colOff>87443</xdr:colOff>
      <xdr:row>38</xdr:row>
      <xdr:rowOff>112426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5A71-D939-471E-A2AC-5E9B63088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2CE2C-A200-49AB-9B6B-A1462F2A19E9}" name="Table2" displayName="Table2" ref="L5:O20" totalsRowShown="0" dataDxfId="35" dataCellStyle="Percent">
  <autoFilter ref="L5:O20" xr:uid="{E212CE2C-A200-49AB-9B6B-A1462F2A19E9}"/>
  <tableColumns count="4">
    <tableColumn id="1" xr3:uid="{DF8591C0-BA9E-48F6-873B-CBE8216B9F8E}" name="NN"/>
    <tableColumn id="2" xr3:uid="{17A7B3B9-E69D-4263-89AD-CE3FCF97694A}" name="MLP" dataDxfId="34" dataCellStyle="Percent"/>
    <tableColumn id="3" xr3:uid="{645DD193-BFB7-4046-AB3A-FE0027D101AB}" name="CNN" dataDxfId="33" dataCellStyle="Percent"/>
    <tableColumn id="4" xr3:uid="{E3F2AD4B-483D-4819-8B6E-21E26C9EDC0F}" name="RESNET" dataDxfId="32" dataCellStyle="Percent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3D5F5-2373-4B01-9DCA-87F03530AA6F}" name="Table22" displayName="Table22" ref="L23:O28" totalsRowShown="0" dataDxfId="31" dataCellStyle="Percent">
  <autoFilter ref="L23:O28" xr:uid="{C8A3D5F5-2373-4B01-9DCA-87F03530AA6F}"/>
  <tableColumns count="4">
    <tableColumn id="1" xr3:uid="{10E6FE1C-D520-4A12-8F7C-555FDB123316}" name="NN"/>
    <tableColumn id="2" xr3:uid="{06435BC8-288B-4CE9-A54F-5A2047F7278B}" name="MLP" dataDxfId="30" dataCellStyle="Percent"/>
    <tableColumn id="3" xr3:uid="{239F0B85-BF9B-40F2-97EF-789B861A0A70}" name="CNN" dataDxfId="29" dataCellStyle="Percent"/>
    <tableColumn id="4" xr3:uid="{578A9646-6545-4EB8-AA44-8F618EF33B96}" name="RESNET" dataDxfId="28" dataCellStyle="Percent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364D7E-3025-4FD7-A14B-AD32C940CE54}" name="Table24" displayName="Table24" ref="L30:O35" totalsRowShown="0" dataDxfId="27" dataCellStyle="Percent">
  <autoFilter ref="L30:O35" xr:uid="{A8364D7E-3025-4FD7-A14B-AD32C940CE54}"/>
  <tableColumns count="4">
    <tableColumn id="1" xr3:uid="{55BEF93E-02B5-41DD-910A-EB8871CDB1D9}" name="NN"/>
    <tableColumn id="2" xr3:uid="{8E0B03F1-1D2F-4E09-BB16-42818268A2DD}" name="MLP" dataDxfId="26" dataCellStyle="Percent"/>
    <tableColumn id="3" xr3:uid="{23403A2F-A507-4A0E-B17B-D913FE6D2DE8}" name="CNN" dataDxfId="25" dataCellStyle="Percent"/>
    <tableColumn id="4" xr3:uid="{0ECD666C-4AA7-4122-AD56-30E746C29E6D}" name="RESNET" dataDxfId="24" dataCellStyle="Percent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B2213-2D6D-4C06-B4E2-D3801851D188}" name="Table25" displayName="Table25" ref="Q5:T20" totalsRowShown="0" dataDxfId="23" dataCellStyle="Percent">
  <autoFilter ref="Q5:T20" xr:uid="{158B2213-2D6D-4C06-B4E2-D3801851D188}"/>
  <tableColumns count="4">
    <tableColumn id="1" xr3:uid="{16DC405B-601A-4336-BF0F-BD407A26CF50}" name="NN"/>
    <tableColumn id="2" xr3:uid="{F13DE317-D420-461E-8750-F55018764EE9}" name="MLP" dataDxfId="22" dataCellStyle="Comma"/>
    <tableColumn id="3" xr3:uid="{528C723E-99E9-4CCB-B402-8E1A9276BD73}" name="CNN" dataDxfId="21" dataCellStyle="Comma"/>
    <tableColumn id="4" xr3:uid="{55D41D9A-1C33-4908-A36B-5097EBE45089}" name="RESNET" dataDxfId="20" dataCellStyle="Comma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AF7887-7922-4F1B-B04D-3A6DE28F8A7C}" name="Table226" displayName="Table226" ref="Q23:T28" totalsRowShown="0" dataDxfId="19" dataCellStyle="Percent">
  <autoFilter ref="Q23:T28" xr:uid="{E2AF7887-7922-4F1B-B04D-3A6DE28F8A7C}"/>
  <tableColumns count="4">
    <tableColumn id="1" xr3:uid="{EC733CBB-4DCA-4959-9900-9D8F3A03B95C}" name="NN"/>
    <tableColumn id="2" xr3:uid="{D042DAF6-01DC-4CD0-9AA6-0F6A380E68C4}" name="MLP" dataDxfId="18" dataCellStyle="Comma"/>
    <tableColumn id="3" xr3:uid="{C5470836-9D09-45E2-9801-85F2CC7ACB75}" name="CNN" dataDxfId="17" dataCellStyle="Comma"/>
    <tableColumn id="4" xr3:uid="{4FDC3DE6-0D6D-49EC-BF56-F73A38263F98}" name="RESNET" dataDxfId="16" dataCellStyle="Comma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BD2E38-76A4-4B6A-937C-B550CCC9D9DE}" name="Table247" displayName="Table247" ref="Q30:T35" totalsRowShown="0" dataDxfId="15" dataCellStyle="Percent">
  <autoFilter ref="Q30:T35" xr:uid="{2DBD2E38-76A4-4B6A-937C-B550CCC9D9DE}"/>
  <tableColumns count="4">
    <tableColumn id="1" xr3:uid="{AA762A3F-BFE3-4372-B4F5-FBB998811EF9}" name="NN"/>
    <tableColumn id="2" xr3:uid="{EC2D1ED0-91B6-4FCB-9575-EA6D9EB88FC5}" name="MLP" dataDxfId="14" dataCellStyle="Comma"/>
    <tableColumn id="3" xr3:uid="{027B7FD6-0C5E-4A1D-BC89-D09E8166260D}" name="CNN" dataDxfId="13" dataCellStyle="Comma"/>
    <tableColumn id="4" xr3:uid="{F058F7F6-AAB8-4F96-9759-5BB397137A3A}" name="RESNET" dataDxfId="12" dataCellStyle="Comma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405C85A-0D45-481D-B3BD-AFBBD509AE06}" name="Table28" displayName="Table28" ref="L41:O44" totalsRowShown="0" dataDxfId="11" dataCellStyle="Percent">
  <autoFilter ref="L41:O44" xr:uid="{2405C85A-0D45-481D-B3BD-AFBBD509AE06}"/>
  <tableColumns count="4">
    <tableColumn id="1" xr3:uid="{26C0E428-9EBD-41D5-8298-8C7655602963}" name="NN"/>
    <tableColumn id="2" xr3:uid="{99FEBD32-B452-4E81-8C3C-E6C0C3EE682C}" name="MLP" dataDxfId="10" dataCellStyle="Percent">
      <calculatedColumnFormula>AVERAGE(M6:M10)</calculatedColumnFormula>
    </tableColumn>
    <tableColumn id="3" xr3:uid="{EEE67F0D-4224-4B8C-AB78-2A31AADFA67A}" name="CNN" dataDxfId="9" dataCellStyle="Percent"/>
    <tableColumn id="4" xr3:uid="{F38F1196-0BC3-4D56-A706-7C8993BA59D7}" name="RESNET" dataDxfId="8" dataCellStyle="Percent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8A1A7F-1B5A-4867-BB85-ACF1616A330A}" name="Table289" displayName="Table289" ref="Q41:T44" totalsRowShown="0" dataDxfId="7" dataCellStyle="Percent">
  <autoFilter ref="Q41:T44" xr:uid="{4A8A1A7F-1B5A-4867-BB85-ACF1616A330A}"/>
  <tableColumns count="4">
    <tableColumn id="1" xr3:uid="{807EE56E-ACAD-4B0A-A11F-8BAFB85FB51D}" name="NN"/>
    <tableColumn id="2" xr3:uid="{799F6690-82C0-4672-8C5A-E57337AB8D14}" name="MLP" dataDxfId="6" dataCellStyle="Comma">
      <calculatedColumnFormula>AVERAGE(R6:R10)</calculatedColumnFormula>
    </tableColumn>
    <tableColumn id="3" xr3:uid="{A9809BD3-9246-4479-B773-D4AF82AD2BE0}" name="CNN" dataDxfId="5" dataCellStyle="Comma"/>
    <tableColumn id="4" xr3:uid="{0788FB4A-036B-4B91-B037-915690BA43DC}" name="RESNET" dataDxfId="4" dataCellStyle="Comma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39B1B6-BE1B-4A46-878D-D41B23190A28}" name="Table2810" displayName="Table2810" ref="O47:R50" totalsRowShown="0" dataDxfId="3" dataCellStyle="Percent">
  <autoFilter ref="O47:R50" xr:uid="{2A39B1B6-BE1B-4A46-878D-D41B23190A28}"/>
  <tableColumns count="4">
    <tableColumn id="1" xr3:uid="{9B8795FD-B968-49F4-8DD6-44833A152352}" name="NN"/>
    <tableColumn id="2" xr3:uid="{DE2073A6-8247-482C-BE79-D968BEE14AE7}" name="MLP" dataDxfId="2" dataCellStyle="Percent">
      <calculatedColumnFormula>R42/(100*M42)</calculatedColumnFormula>
    </tableColumn>
    <tableColumn id="3" xr3:uid="{3CA03A83-37C3-4CFD-9124-5865AE7748FA}" name="CNN" dataDxfId="1" dataCellStyle="Percent">
      <calculatedColumnFormula>S42/(100*N42)</calculatedColumnFormula>
    </tableColumn>
    <tableColumn id="4" xr3:uid="{2C3D1B9B-2164-40CC-9F5B-081A65625AD4}" name="RESNET" dataDxfId="0" dataCellStyle="Percent">
      <calculatedColumnFormula>T42/(100*O42)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9821-E02D-41EF-A9CC-93791136D914}">
  <dimension ref="L5:T52"/>
  <sheetViews>
    <sheetView zoomScale="74" workbookViewId="0">
      <selection activeCell="H30" sqref="H30"/>
    </sheetView>
  </sheetViews>
  <sheetFormatPr defaultRowHeight="14.4" x14ac:dyDescent="0.3"/>
  <cols>
    <col min="12" max="12" width="10.44140625" customWidth="1"/>
    <col min="15" max="15" width="9.21875" customWidth="1"/>
    <col min="16" max="16" width="10.6640625" bestFit="1" customWidth="1"/>
    <col min="17" max="17" width="9.6640625" bestFit="1" customWidth="1"/>
    <col min="18" max="18" width="12.88671875" bestFit="1" customWidth="1"/>
    <col min="19" max="19" width="11.109375" bestFit="1" customWidth="1"/>
    <col min="20" max="20" width="12.88671875" bestFit="1" customWidth="1"/>
  </cols>
  <sheetData>
    <row r="5" spans="12:20" x14ac:dyDescent="0.3">
      <c r="L5" t="s">
        <v>12</v>
      </c>
      <c r="M5" t="s">
        <v>9</v>
      </c>
      <c r="N5" t="s">
        <v>6</v>
      </c>
      <c r="O5" t="s">
        <v>13</v>
      </c>
      <c r="Q5" t="s">
        <v>12</v>
      </c>
      <c r="R5" s="60" t="s">
        <v>9</v>
      </c>
      <c r="S5" s="60" t="s">
        <v>6</v>
      </c>
      <c r="T5" s="60" t="s">
        <v>13</v>
      </c>
    </row>
    <row r="6" spans="12:20" x14ac:dyDescent="0.3">
      <c r="L6" t="s">
        <v>14</v>
      </c>
      <c r="M6" s="2">
        <v>0.95796999999999999</v>
      </c>
      <c r="N6" s="33">
        <v>0.97799999999999998</v>
      </c>
      <c r="O6" s="49">
        <v>0.98485</v>
      </c>
      <c r="Q6" t="s">
        <v>14</v>
      </c>
      <c r="R6" s="60">
        <v>472.3494</v>
      </c>
      <c r="S6" s="60">
        <v>645.86260000000004</v>
      </c>
      <c r="T6" s="60">
        <v>25808.720300000001</v>
      </c>
    </row>
    <row r="7" spans="12:20" x14ac:dyDescent="0.3">
      <c r="L7" t="s">
        <v>14</v>
      </c>
      <c r="M7" s="2">
        <v>0.95104999999999995</v>
      </c>
      <c r="N7" s="33">
        <v>0.96951670000000001</v>
      </c>
      <c r="O7" s="34">
        <v>0.98023000000000005</v>
      </c>
      <c r="Q7" t="s">
        <v>14</v>
      </c>
      <c r="R7" s="60">
        <v>490.38990000000001</v>
      </c>
      <c r="S7" s="60">
        <v>646.6404</v>
      </c>
      <c r="T7" s="60">
        <v>25925.084699999999</v>
      </c>
    </row>
    <row r="8" spans="12:20" x14ac:dyDescent="0.3">
      <c r="L8" t="s">
        <v>14</v>
      </c>
      <c r="M8" s="2">
        <v>0.94906000000000001</v>
      </c>
      <c r="N8" s="33">
        <v>0.98361670000000001</v>
      </c>
      <c r="O8" s="34">
        <v>0.98751999999999995</v>
      </c>
      <c r="Q8" t="s">
        <v>14</v>
      </c>
      <c r="R8" s="60">
        <v>496.52519999999998</v>
      </c>
      <c r="S8" s="60">
        <v>652.29919999999993</v>
      </c>
      <c r="T8" s="60">
        <v>26637.750700000001</v>
      </c>
    </row>
    <row r="9" spans="12:20" x14ac:dyDescent="0.3">
      <c r="L9" t="s">
        <v>14</v>
      </c>
      <c r="M9" s="2">
        <v>0.95250000000000001</v>
      </c>
      <c r="N9" s="33">
        <v>0.98463400000000001</v>
      </c>
      <c r="O9" s="34">
        <v>0.98323000000000005</v>
      </c>
      <c r="Q9" t="s">
        <v>14</v>
      </c>
      <c r="R9" s="60">
        <v>488.34199999999998</v>
      </c>
      <c r="S9" s="60">
        <v>686.78399999999999</v>
      </c>
      <c r="T9" s="60">
        <v>26279.435400000002</v>
      </c>
    </row>
    <row r="10" spans="12:20" x14ac:dyDescent="0.3">
      <c r="L10" t="s">
        <v>14</v>
      </c>
      <c r="M10" s="2">
        <v>0.96092</v>
      </c>
      <c r="N10" s="33">
        <v>0.98465000000000003</v>
      </c>
      <c r="O10" s="50">
        <v>0.98951999999999996</v>
      </c>
      <c r="Q10" t="s">
        <v>14</v>
      </c>
      <c r="R10" s="60">
        <v>506.02140000000003</v>
      </c>
      <c r="S10" s="60">
        <v>662.71040000000005</v>
      </c>
      <c r="T10" s="60">
        <v>25764.280300000002</v>
      </c>
    </row>
    <row r="11" spans="12:20" x14ac:dyDescent="0.3">
      <c r="L11" t="s">
        <v>15</v>
      </c>
      <c r="M11" s="33">
        <v>0.42558000000000001</v>
      </c>
      <c r="N11" s="33">
        <v>0.59211999999999998</v>
      </c>
      <c r="O11" s="49">
        <v>0.69606000000000001</v>
      </c>
      <c r="Q11" t="s">
        <v>15</v>
      </c>
      <c r="R11" s="60">
        <v>2597.5892000000003</v>
      </c>
      <c r="S11" s="60">
        <v>3340.0242000000003</v>
      </c>
      <c r="T11" s="61">
        <v>131587.87600000002</v>
      </c>
    </row>
    <row r="12" spans="12:20" x14ac:dyDescent="0.3">
      <c r="L12" t="s">
        <v>15</v>
      </c>
      <c r="M12" s="33">
        <v>0.4219</v>
      </c>
      <c r="N12" s="33">
        <v>0.59199999999999997</v>
      </c>
      <c r="O12" s="34">
        <v>0.70364000000000004</v>
      </c>
      <c r="Q12" t="s">
        <v>15</v>
      </c>
      <c r="R12" s="60">
        <v>2615.6130000000003</v>
      </c>
      <c r="S12" s="60">
        <v>3268.837</v>
      </c>
      <c r="T12" s="62">
        <v>130909.30599999998</v>
      </c>
    </row>
    <row r="13" spans="12:20" x14ac:dyDescent="0.3">
      <c r="L13" t="s">
        <v>15</v>
      </c>
      <c r="M13" s="33">
        <v>0.42796000000000001</v>
      </c>
      <c r="N13" s="33">
        <v>0.59275999999999995</v>
      </c>
      <c r="O13" s="34">
        <v>0.71728000000000003</v>
      </c>
      <c r="Q13" t="s">
        <v>15</v>
      </c>
      <c r="R13" s="60">
        <v>2629.99</v>
      </c>
      <c r="S13" s="60">
        <v>3344.7112000000002</v>
      </c>
      <c r="T13" s="62">
        <v>129065.30399999999</v>
      </c>
    </row>
    <row r="14" spans="12:20" x14ac:dyDescent="0.3">
      <c r="L14" t="s">
        <v>15</v>
      </c>
      <c r="M14" s="33">
        <v>0.43668000000000001</v>
      </c>
      <c r="N14" s="33">
        <v>0.59489999999999998</v>
      </c>
      <c r="O14" s="34">
        <v>0.71479999999999999</v>
      </c>
      <c r="Q14" t="s">
        <v>15</v>
      </c>
      <c r="R14" s="60">
        <v>2695.7507999999998</v>
      </c>
      <c r="S14" s="60">
        <v>3249.5574999999999</v>
      </c>
      <c r="T14" s="62">
        <v>125967.626</v>
      </c>
    </row>
    <row r="15" spans="12:20" x14ac:dyDescent="0.3">
      <c r="L15" t="s">
        <v>15</v>
      </c>
      <c r="M15" s="33">
        <v>0.42558000000000001</v>
      </c>
      <c r="N15" s="33">
        <v>0.57767999999999997</v>
      </c>
      <c r="O15" s="50">
        <v>0.73358000000000001</v>
      </c>
      <c r="Q15" t="s">
        <v>15</v>
      </c>
      <c r="R15" s="60">
        <v>2646.8458000000001</v>
      </c>
      <c r="S15" s="60">
        <v>3216.8111999999996</v>
      </c>
      <c r="T15" s="63">
        <v>125672.97600000001</v>
      </c>
    </row>
    <row r="16" spans="12:20" x14ac:dyDescent="0.3">
      <c r="L16" t="s">
        <v>16</v>
      </c>
      <c r="M16" s="33">
        <v>0.14152000000000001</v>
      </c>
      <c r="N16" s="33">
        <v>0.21504000000000001</v>
      </c>
      <c r="O16" s="33">
        <v>0.31286000000000003</v>
      </c>
      <c r="Q16" t="s">
        <v>16</v>
      </c>
      <c r="R16" s="60">
        <v>6637.5852999999997</v>
      </c>
      <c r="S16" s="60">
        <v>7972.7319000000007</v>
      </c>
      <c r="T16" s="60">
        <v>333859.96299999999</v>
      </c>
    </row>
    <row r="17" spans="12:20" x14ac:dyDescent="0.3">
      <c r="L17" t="s">
        <v>16</v>
      </c>
      <c r="M17" s="33">
        <v>0.14566000000000001</v>
      </c>
      <c r="N17" s="33">
        <v>0.20785999999999999</v>
      </c>
      <c r="O17" s="33">
        <v>0.32181999999999999</v>
      </c>
      <c r="Q17" t="s">
        <v>16</v>
      </c>
      <c r="R17" s="60">
        <v>6661.7039999999997</v>
      </c>
      <c r="S17" s="60">
        <v>8151.5667999999996</v>
      </c>
      <c r="T17" s="60">
        <v>326162.473</v>
      </c>
    </row>
    <row r="18" spans="12:20" x14ac:dyDescent="0.3">
      <c r="L18" t="s">
        <v>16</v>
      </c>
      <c r="M18" s="33">
        <v>0.1484</v>
      </c>
      <c r="N18" s="33">
        <v>0.20391999999999999</v>
      </c>
      <c r="O18" s="33">
        <v>0.3165</v>
      </c>
      <c r="Q18" t="s">
        <v>16</v>
      </c>
      <c r="R18" s="60">
        <v>6283.0973999999997</v>
      </c>
      <c r="S18" s="60">
        <v>8386.5390000000007</v>
      </c>
      <c r="T18" s="60">
        <v>340349.97599999997</v>
      </c>
    </row>
    <row r="19" spans="12:20" x14ac:dyDescent="0.3">
      <c r="L19" t="s">
        <v>16</v>
      </c>
      <c r="M19" s="33">
        <v>0.15104000000000001</v>
      </c>
      <c r="N19" s="33">
        <v>0.2059</v>
      </c>
      <c r="O19" s="33">
        <v>0.33235999999999999</v>
      </c>
      <c r="Q19" t="s">
        <v>16</v>
      </c>
      <c r="R19" s="60">
        <v>6629.2352999999994</v>
      </c>
      <c r="S19" s="60">
        <v>8281.4526000000005</v>
      </c>
      <c r="T19" s="60">
        <v>318932.64</v>
      </c>
    </row>
    <row r="20" spans="12:20" x14ac:dyDescent="0.3">
      <c r="L20" t="s">
        <v>16</v>
      </c>
      <c r="M20" s="33">
        <v>0.15068000000000001</v>
      </c>
      <c r="N20" s="33">
        <v>0.20172000000000001</v>
      </c>
      <c r="O20" s="33">
        <v>0.31991999999999998</v>
      </c>
      <c r="Q20" t="s">
        <v>16</v>
      </c>
      <c r="R20" s="60">
        <v>6485.6275000000005</v>
      </c>
      <c r="S20" s="60">
        <v>8448.9944000000014</v>
      </c>
      <c r="T20" s="60">
        <v>310033.141</v>
      </c>
    </row>
    <row r="23" spans="12:20" x14ac:dyDescent="0.3">
      <c r="L23" t="s">
        <v>12</v>
      </c>
      <c r="M23" t="s">
        <v>9</v>
      </c>
      <c r="N23" t="s">
        <v>6</v>
      </c>
      <c r="O23" t="s">
        <v>13</v>
      </c>
      <c r="Q23" t="s">
        <v>12</v>
      </c>
      <c r="R23" t="s">
        <v>9</v>
      </c>
      <c r="S23" t="s">
        <v>6</v>
      </c>
      <c r="T23" t="s">
        <v>13</v>
      </c>
    </row>
    <row r="24" spans="12:20" x14ac:dyDescent="0.3">
      <c r="L24" t="s">
        <v>15</v>
      </c>
      <c r="M24" s="33">
        <v>0.42558000000000001</v>
      </c>
      <c r="N24" s="33">
        <v>0.59211999999999998</v>
      </c>
      <c r="O24" s="49">
        <v>0.69606000000000001</v>
      </c>
      <c r="Q24" t="s">
        <v>15</v>
      </c>
      <c r="R24" s="60">
        <v>2597.5892000000003</v>
      </c>
      <c r="S24" s="60">
        <v>3340.0242000000003</v>
      </c>
      <c r="T24" s="61">
        <v>131587.87600000002</v>
      </c>
    </row>
    <row r="25" spans="12:20" x14ac:dyDescent="0.3">
      <c r="L25" t="s">
        <v>15</v>
      </c>
      <c r="M25" s="33">
        <v>0.4219</v>
      </c>
      <c r="N25" s="33">
        <v>0.59199999999999997</v>
      </c>
      <c r="O25" s="34">
        <v>0.70364000000000004</v>
      </c>
      <c r="Q25" t="s">
        <v>15</v>
      </c>
      <c r="R25" s="60">
        <v>2615.6130000000003</v>
      </c>
      <c r="S25" s="60">
        <v>3268.837</v>
      </c>
      <c r="T25" s="62">
        <v>130909.30599999998</v>
      </c>
    </row>
    <row r="26" spans="12:20" x14ac:dyDescent="0.3">
      <c r="L26" t="s">
        <v>15</v>
      </c>
      <c r="M26" s="33">
        <v>0.42796000000000001</v>
      </c>
      <c r="N26" s="33">
        <v>0.59275999999999995</v>
      </c>
      <c r="O26" s="34">
        <v>0.71728000000000003</v>
      </c>
      <c r="Q26" t="s">
        <v>15</v>
      </c>
      <c r="R26" s="60">
        <v>2629.99</v>
      </c>
      <c r="S26" s="60">
        <v>3344.7112000000002</v>
      </c>
      <c r="T26" s="62">
        <v>129065.30399999999</v>
      </c>
    </row>
    <row r="27" spans="12:20" x14ac:dyDescent="0.3">
      <c r="L27" t="s">
        <v>15</v>
      </c>
      <c r="M27" s="33">
        <v>0.43668000000000001</v>
      </c>
      <c r="N27" s="33">
        <v>0.59489999999999998</v>
      </c>
      <c r="O27" s="34">
        <v>0.71479999999999999</v>
      </c>
      <c r="Q27" t="s">
        <v>15</v>
      </c>
      <c r="R27" s="60">
        <v>2695.7507999999998</v>
      </c>
      <c r="S27" s="60">
        <v>3249.5574999999999</v>
      </c>
      <c r="T27" s="62">
        <v>125967.626</v>
      </c>
    </row>
    <row r="28" spans="12:20" x14ac:dyDescent="0.3">
      <c r="L28" t="s">
        <v>15</v>
      </c>
      <c r="M28" s="33">
        <v>0.42558000000000001</v>
      </c>
      <c r="N28" s="33">
        <v>0.57767999999999997</v>
      </c>
      <c r="O28" s="50">
        <v>0.73358000000000001</v>
      </c>
      <c r="Q28" t="s">
        <v>15</v>
      </c>
      <c r="R28" s="60">
        <v>2646.8458000000001</v>
      </c>
      <c r="S28" s="60">
        <v>3216.8111999999996</v>
      </c>
      <c r="T28" s="63">
        <v>125672.97600000001</v>
      </c>
    </row>
    <row r="30" spans="12:20" x14ac:dyDescent="0.3">
      <c r="L30" t="s">
        <v>12</v>
      </c>
      <c r="M30" t="s">
        <v>9</v>
      </c>
      <c r="N30" t="s">
        <v>6</v>
      </c>
      <c r="O30" t="s">
        <v>13</v>
      </c>
      <c r="Q30" t="s">
        <v>12</v>
      </c>
      <c r="R30" t="s">
        <v>9</v>
      </c>
      <c r="S30" t="s">
        <v>6</v>
      </c>
      <c r="T30" t="s">
        <v>13</v>
      </c>
    </row>
    <row r="31" spans="12:20" x14ac:dyDescent="0.3">
      <c r="L31" t="s">
        <v>16</v>
      </c>
      <c r="M31" s="33">
        <v>0.14152000000000001</v>
      </c>
      <c r="N31" s="33">
        <v>0.21504000000000001</v>
      </c>
      <c r="O31" s="33">
        <v>0.31286000000000003</v>
      </c>
      <c r="Q31" t="s">
        <v>16</v>
      </c>
      <c r="R31" s="60">
        <v>6637.5852999999997</v>
      </c>
      <c r="S31" s="60">
        <v>7972.7319000000007</v>
      </c>
      <c r="T31" s="60">
        <v>333859.96299999999</v>
      </c>
    </row>
    <row r="32" spans="12:20" x14ac:dyDescent="0.3">
      <c r="L32" t="s">
        <v>16</v>
      </c>
      <c r="M32" s="33">
        <v>0.14566000000000001</v>
      </c>
      <c r="N32" s="33">
        <v>0.20785999999999999</v>
      </c>
      <c r="O32" s="33">
        <v>0.32181999999999999</v>
      </c>
      <c r="Q32" t="s">
        <v>16</v>
      </c>
      <c r="R32" s="60">
        <v>6661.7039999999997</v>
      </c>
      <c r="S32" s="60">
        <v>8151.5667999999996</v>
      </c>
      <c r="T32" s="60">
        <v>326162.473</v>
      </c>
    </row>
    <row r="33" spans="12:20" x14ac:dyDescent="0.3">
      <c r="L33" t="s">
        <v>16</v>
      </c>
      <c r="M33" s="33">
        <v>0.1484</v>
      </c>
      <c r="N33" s="33">
        <v>0.20391999999999999</v>
      </c>
      <c r="O33" s="33">
        <v>0.3165</v>
      </c>
      <c r="Q33" t="s">
        <v>16</v>
      </c>
      <c r="R33" s="60">
        <v>6283.0973999999997</v>
      </c>
      <c r="S33" s="60">
        <v>8386.5390000000007</v>
      </c>
      <c r="T33" s="60">
        <v>340349.97599999997</v>
      </c>
    </row>
    <row r="34" spans="12:20" x14ac:dyDescent="0.3">
      <c r="L34" t="s">
        <v>16</v>
      </c>
      <c r="M34" s="33">
        <v>0.15104000000000001</v>
      </c>
      <c r="N34" s="33">
        <v>0.2059</v>
      </c>
      <c r="O34" s="33">
        <v>0.33235999999999999</v>
      </c>
      <c r="Q34" t="s">
        <v>16</v>
      </c>
      <c r="R34" s="60">
        <v>6629.2352999999994</v>
      </c>
      <c r="S34" s="60">
        <v>8281.4526000000005</v>
      </c>
      <c r="T34" s="60">
        <v>318932.64</v>
      </c>
    </row>
    <row r="35" spans="12:20" x14ac:dyDescent="0.3">
      <c r="L35" t="s">
        <v>16</v>
      </c>
      <c r="M35" s="33">
        <v>0.15068000000000001</v>
      </c>
      <c r="N35" s="33">
        <v>0.20172000000000001</v>
      </c>
      <c r="O35" s="33">
        <v>0.31991999999999998</v>
      </c>
      <c r="Q35" t="s">
        <v>16</v>
      </c>
      <c r="R35" s="60">
        <v>6485.6275000000005</v>
      </c>
      <c r="S35" s="60">
        <v>8448.9944000000014</v>
      </c>
      <c r="T35" s="60">
        <v>310033.141</v>
      </c>
    </row>
    <row r="41" spans="12:20" x14ac:dyDescent="0.3">
      <c r="L41" t="s">
        <v>12</v>
      </c>
      <c r="M41" t="s">
        <v>9</v>
      </c>
      <c r="N41" t="s">
        <v>6</v>
      </c>
      <c r="O41" t="s">
        <v>13</v>
      </c>
      <c r="Q41" t="s">
        <v>12</v>
      </c>
      <c r="R41" t="s">
        <v>9</v>
      </c>
      <c r="S41" t="s">
        <v>6</v>
      </c>
      <c r="T41" t="s">
        <v>13</v>
      </c>
    </row>
    <row r="42" spans="12:20" x14ac:dyDescent="0.3">
      <c r="L42" t="s">
        <v>14</v>
      </c>
      <c r="M42" s="2">
        <f>AVERAGE(M6:M10)</f>
        <v>0.95430000000000015</v>
      </c>
      <c r="N42" s="2">
        <f>AVERAGE(N6:N10)</f>
        <v>0.98008348000000001</v>
      </c>
      <c r="O42" s="2">
        <f>AVERAGE(O6:O10)</f>
        <v>0.98507</v>
      </c>
      <c r="Q42" t="s">
        <v>14</v>
      </c>
      <c r="R42" s="60">
        <f>AVERAGE(R6:R10)</f>
        <v>490.72557999999998</v>
      </c>
      <c r="S42" s="60">
        <f>AVERAGE(S6:S10)</f>
        <v>658.85932000000003</v>
      </c>
      <c r="T42" s="60">
        <f>AVERAGE(T6:T10)</f>
        <v>26083.05428</v>
      </c>
    </row>
    <row r="43" spans="12:20" x14ac:dyDescent="0.3">
      <c r="L43" t="s">
        <v>15</v>
      </c>
      <c r="M43" s="2">
        <f>AVERAGE(M11:M15)</f>
        <v>0.42754000000000003</v>
      </c>
      <c r="N43" s="2">
        <f>AVERAGE(N11:N15)</f>
        <v>0.58989200000000008</v>
      </c>
      <c r="O43" s="2">
        <f>AVERAGE(O11:O15)</f>
        <v>0.71307200000000004</v>
      </c>
      <c r="Q43" t="s">
        <v>15</v>
      </c>
      <c r="R43" s="60">
        <f>AVERAGE(R11:R15)</f>
        <v>2637.1577599999996</v>
      </c>
      <c r="S43" s="60">
        <f>AVERAGE(S11:S15)</f>
        <v>3283.9882200000002</v>
      </c>
      <c r="T43" s="60">
        <f>AVERAGE(T11:T15)</f>
        <v>128640.6176</v>
      </c>
    </row>
    <row r="44" spans="12:20" x14ac:dyDescent="0.3">
      <c r="L44" t="s">
        <v>16</v>
      </c>
      <c r="M44" s="2">
        <f>AVERAGE(M16:M20)</f>
        <v>0.14745999999999998</v>
      </c>
      <c r="N44" s="2">
        <f>AVERAGE(N16:N20)</f>
        <v>0.20688800000000002</v>
      </c>
      <c r="O44" s="2">
        <f>AVERAGE(O16:O20)</f>
        <v>0.32069199999999998</v>
      </c>
      <c r="Q44" t="s">
        <v>16</v>
      </c>
      <c r="R44" s="60">
        <f>AVERAGE(R16:R20)</f>
        <v>6539.4498999999996</v>
      </c>
      <c r="S44" s="60">
        <f>AVERAGE(S16:S20)</f>
        <v>8248.2569400000011</v>
      </c>
      <c r="T44" s="60">
        <f>AVERAGE(T16:T20)</f>
        <v>325867.63860000006</v>
      </c>
    </row>
    <row r="47" spans="12:20" x14ac:dyDescent="0.3">
      <c r="O47" t="s">
        <v>12</v>
      </c>
      <c r="P47" t="s">
        <v>9</v>
      </c>
      <c r="Q47" t="s">
        <v>6</v>
      </c>
      <c r="R47" t="s">
        <v>13</v>
      </c>
    </row>
    <row r="48" spans="12:20" x14ac:dyDescent="0.3">
      <c r="O48" t="s">
        <v>14</v>
      </c>
      <c r="P48" s="59">
        <f>R42/(100*M42)</f>
        <v>5.1422569422613424</v>
      </c>
      <c r="Q48" s="59">
        <f t="shared" ref="Q48:R50" si="0">S42/(100*N42)</f>
        <v>6.7224816400333571</v>
      </c>
      <c r="R48" s="59">
        <f t="shared" si="0"/>
        <v>264.78376440252975</v>
      </c>
    </row>
    <row r="49" spans="15:18" x14ac:dyDescent="0.3">
      <c r="O49" t="s">
        <v>15</v>
      </c>
      <c r="P49" s="59">
        <f t="shared" ref="P49:P50" si="1">R43/(100*M43)</f>
        <v>61.682129391401958</v>
      </c>
      <c r="Q49" s="59">
        <f t="shared" si="0"/>
        <v>55.671007913312941</v>
      </c>
      <c r="R49" s="59">
        <f t="shared" si="0"/>
        <v>1804.0340610765811</v>
      </c>
    </row>
    <row r="50" spans="15:18" x14ac:dyDescent="0.3">
      <c r="O50" t="s">
        <v>16</v>
      </c>
      <c r="P50" s="59">
        <f t="shared" si="1"/>
        <v>443.47279940322801</v>
      </c>
      <c r="Q50" s="59">
        <f t="shared" si="0"/>
        <v>398.68223096554664</v>
      </c>
      <c r="R50" s="59">
        <f t="shared" si="0"/>
        <v>10161.389701021544</v>
      </c>
    </row>
    <row r="52" spans="15:18" x14ac:dyDescent="0.3">
      <c r="P52">
        <f>AVERAGE(Table2810[MLP])</f>
        <v>170.09906191229712</v>
      </c>
      <c r="Q52">
        <f>AVERAGE(Table2810[CNN])</f>
        <v>153.69190683963097</v>
      </c>
      <c r="R52">
        <f>AVERAGE(Table2810[RESNET])</f>
        <v>4076.735842166885</v>
      </c>
    </row>
  </sheetData>
  <phoneticPr fontId="9" type="noConversion"/>
  <pageMargins left="0.7" right="0.7" top="0.75" bottom="0.75" header="0.3" footer="0.3"/>
  <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3"/>
  <sheetViews>
    <sheetView topLeftCell="A5" zoomScale="103" workbookViewId="0">
      <selection activeCell="C32" sqref="C32"/>
    </sheetView>
  </sheetViews>
  <sheetFormatPr defaultRowHeight="14.4" x14ac:dyDescent="0.3"/>
  <cols>
    <col min="1" max="1" width="18.6640625" customWidth="1"/>
    <col min="2" max="2" width="8.44140625" bestFit="1" customWidth="1"/>
    <col min="3" max="3" width="14.33203125" bestFit="1" customWidth="1"/>
    <col min="4" max="4" width="30.88671875" bestFit="1" customWidth="1"/>
    <col min="5" max="5" width="19" bestFit="1" customWidth="1"/>
    <col min="6" max="6" width="8.88671875" bestFit="1" customWidth="1"/>
    <col min="7" max="7" width="5" bestFit="1" customWidth="1"/>
    <col min="8" max="8" width="21.44140625" bestFit="1" customWidth="1"/>
    <col min="9" max="9" width="15.88671875" bestFit="1" customWidth="1"/>
  </cols>
  <sheetData>
    <row r="2" spans="1:6" x14ac:dyDescent="0.3">
      <c r="A2" s="28" t="s">
        <v>0</v>
      </c>
      <c r="B2" s="29">
        <v>8</v>
      </c>
    </row>
    <row r="6" spans="1:6" x14ac:dyDescent="0.3">
      <c r="A6" s="10"/>
      <c r="B6" s="24" t="s">
        <v>1</v>
      </c>
      <c r="C6" s="39" t="s">
        <v>2</v>
      </c>
      <c r="D6" s="39" t="s">
        <v>3</v>
      </c>
      <c r="E6" s="39" t="s">
        <v>4</v>
      </c>
      <c r="F6" s="40" t="s">
        <v>5</v>
      </c>
    </row>
    <row r="7" spans="1:6" x14ac:dyDescent="0.3">
      <c r="A7" s="32" t="s">
        <v>6</v>
      </c>
      <c r="B7" s="20">
        <v>1</v>
      </c>
      <c r="C7">
        <v>22.821999999999999</v>
      </c>
      <c r="D7">
        <v>28.3</v>
      </c>
      <c r="E7">
        <f>C7*D7</f>
        <v>645.86260000000004</v>
      </c>
      <c r="F7" s="34">
        <v>0.97799999999999998</v>
      </c>
    </row>
    <row r="8" spans="1:6" x14ac:dyDescent="0.3">
      <c r="A8" s="32" t="s">
        <v>6</v>
      </c>
      <c r="B8" s="21">
        <v>2</v>
      </c>
      <c r="C8">
        <v>23.428999999999998</v>
      </c>
      <c r="D8">
        <v>27.6</v>
      </c>
      <c r="E8">
        <f t="shared" ref="E8:E11" si="0">C8*D8</f>
        <v>646.6404</v>
      </c>
      <c r="F8" s="34">
        <v>0.96951670000000001</v>
      </c>
    </row>
    <row r="9" spans="1:6" x14ac:dyDescent="0.3">
      <c r="A9" s="32" t="s">
        <v>6</v>
      </c>
      <c r="B9" s="21">
        <v>3</v>
      </c>
      <c r="C9">
        <v>23.463999999999999</v>
      </c>
      <c r="D9">
        <v>27.8</v>
      </c>
      <c r="E9">
        <f t="shared" si="0"/>
        <v>652.29919999999993</v>
      </c>
      <c r="F9" s="34">
        <v>0.98361670000000001</v>
      </c>
    </row>
    <row r="10" spans="1:6" x14ac:dyDescent="0.3">
      <c r="A10" s="32" t="s">
        <v>6</v>
      </c>
      <c r="B10" s="21">
        <v>4</v>
      </c>
      <c r="C10">
        <v>23.52</v>
      </c>
      <c r="D10">
        <v>29.2</v>
      </c>
      <c r="E10">
        <f t="shared" si="0"/>
        <v>686.78399999999999</v>
      </c>
      <c r="F10" s="34">
        <v>0.98463400000000001</v>
      </c>
    </row>
    <row r="11" spans="1:6" x14ac:dyDescent="0.3">
      <c r="A11" s="32" t="s">
        <v>6</v>
      </c>
      <c r="B11" s="21">
        <v>5</v>
      </c>
      <c r="C11">
        <v>23.584</v>
      </c>
      <c r="D11">
        <v>28.1</v>
      </c>
      <c r="E11">
        <f t="shared" si="0"/>
        <v>662.71040000000005</v>
      </c>
      <c r="F11" s="34">
        <v>0.98465000000000003</v>
      </c>
    </row>
    <row r="12" spans="1:6" x14ac:dyDescent="0.3">
      <c r="B12" s="22" t="s">
        <v>7</v>
      </c>
      <c r="C12" s="6">
        <f>AVERAGE(C7:C11)</f>
        <v>23.363800000000001</v>
      </c>
      <c r="D12" s="6">
        <f t="shared" ref="D12:F12" si="1">AVERAGE(D7:D11)</f>
        <v>28.2</v>
      </c>
      <c r="E12" s="6">
        <f t="shared" si="1"/>
        <v>658.85932000000003</v>
      </c>
      <c r="F12" s="36">
        <f t="shared" si="1"/>
        <v>0.98008348000000001</v>
      </c>
    </row>
    <row r="13" spans="1:6" x14ac:dyDescent="0.3">
      <c r="B13" s="23" t="s">
        <v>8</v>
      </c>
      <c r="C13" s="8">
        <f>_xlfn.STDEV.S(C7:C11)</f>
        <v>0.30851450533159702</v>
      </c>
      <c r="D13" s="8">
        <f t="shared" ref="D13:F13" si="2">_xlfn.STDEV.S(D7:D11)</f>
        <v>0.62048368229954209</v>
      </c>
      <c r="E13" s="8">
        <f t="shared" si="2"/>
        <v>16.999047630735081</v>
      </c>
      <c r="F13" s="37">
        <f t="shared" si="2"/>
        <v>6.5200020940947611E-3</v>
      </c>
    </row>
    <row r="14" spans="1:6" x14ac:dyDescent="0.3">
      <c r="A14" s="32" t="s">
        <v>9</v>
      </c>
      <c r="B14" s="21">
        <v>1</v>
      </c>
      <c r="C14" s="10">
        <v>21.277000000000001</v>
      </c>
      <c r="D14" s="10">
        <v>22.2</v>
      </c>
      <c r="E14" s="10">
        <f>C14*D14</f>
        <v>472.3494</v>
      </c>
      <c r="F14" s="38">
        <v>0.95796999999999999</v>
      </c>
    </row>
    <row r="15" spans="1:6" x14ac:dyDescent="0.3">
      <c r="A15" s="32" t="s">
        <v>9</v>
      </c>
      <c r="B15" s="21">
        <v>2</v>
      </c>
      <c r="C15" s="10">
        <v>23.023</v>
      </c>
      <c r="D15" s="10">
        <v>21.3</v>
      </c>
      <c r="E15" s="10">
        <f t="shared" ref="E15:E18" si="3">C15*D15</f>
        <v>490.38990000000001</v>
      </c>
      <c r="F15" s="38">
        <v>0.95104999999999995</v>
      </c>
    </row>
    <row r="16" spans="1:6" x14ac:dyDescent="0.3">
      <c r="A16" s="32" t="s">
        <v>9</v>
      </c>
      <c r="B16" s="21">
        <v>3</v>
      </c>
      <c r="C16" s="10">
        <v>22.366</v>
      </c>
      <c r="D16" s="10">
        <v>22.2</v>
      </c>
      <c r="E16" s="10">
        <f t="shared" si="3"/>
        <v>496.52519999999998</v>
      </c>
      <c r="F16" s="38">
        <v>0.94906000000000001</v>
      </c>
    </row>
    <row r="17" spans="1:6" x14ac:dyDescent="0.3">
      <c r="A17" s="32" t="s">
        <v>9</v>
      </c>
      <c r="B17" s="21">
        <v>4</v>
      </c>
      <c r="C17" s="10">
        <v>23.035</v>
      </c>
      <c r="D17" s="10">
        <v>21.2</v>
      </c>
      <c r="E17" s="10">
        <f t="shared" si="3"/>
        <v>488.34199999999998</v>
      </c>
      <c r="F17" s="38">
        <v>0.95250000000000001</v>
      </c>
    </row>
    <row r="18" spans="1:6" x14ac:dyDescent="0.3">
      <c r="A18" s="32" t="s">
        <v>9</v>
      </c>
      <c r="B18" s="21">
        <v>5</v>
      </c>
      <c r="C18" s="10">
        <v>23.106000000000002</v>
      </c>
      <c r="D18" s="10">
        <v>21.9</v>
      </c>
      <c r="E18" s="10">
        <f t="shared" si="3"/>
        <v>506.02140000000003</v>
      </c>
      <c r="F18" s="38">
        <v>0.96092</v>
      </c>
    </row>
    <row r="19" spans="1:6" x14ac:dyDescent="0.3">
      <c r="B19" s="22" t="s">
        <v>7</v>
      </c>
      <c r="C19" s="11">
        <f>AVERAGE(C14:C18)</f>
        <v>22.561399999999999</v>
      </c>
      <c r="D19" s="11">
        <f t="shared" ref="D19:F19" si="4">AVERAGE(D14:D18)</f>
        <v>21.76</v>
      </c>
      <c r="E19" s="11">
        <f t="shared" si="4"/>
        <v>490.72557999999998</v>
      </c>
      <c r="F19" s="51">
        <f t="shared" si="4"/>
        <v>0.95430000000000015</v>
      </c>
    </row>
    <row r="20" spans="1:6" x14ac:dyDescent="0.3">
      <c r="B20" s="23" t="s">
        <v>8</v>
      </c>
      <c r="C20" s="54">
        <f>_xlfn.STDEV.S(C14:C18)</f>
        <v>0.77811072476865384</v>
      </c>
      <c r="D20" s="54">
        <f t="shared" ref="D20:F20" si="5">_xlfn.STDEV.S(D14:D18)</f>
        <v>0.48270073544588643</v>
      </c>
      <c r="E20" s="54">
        <f t="shared" si="5"/>
        <v>12.359973985490429</v>
      </c>
      <c r="F20" s="55">
        <f t="shared" si="5"/>
        <v>4.9637032546275359E-3</v>
      </c>
    </row>
    <row r="21" spans="1:6" x14ac:dyDescent="0.3">
      <c r="A21" s="32" t="s">
        <v>10</v>
      </c>
      <c r="B21" s="53">
        <v>1</v>
      </c>
      <c r="C21" s="44">
        <v>409.01299999999998</v>
      </c>
      <c r="D21" s="45">
        <v>63.1</v>
      </c>
      <c r="E21" s="45">
        <f>C21*D21</f>
        <v>25808.720300000001</v>
      </c>
      <c r="F21" s="49">
        <v>0.98485</v>
      </c>
    </row>
    <row r="22" spans="1:6" x14ac:dyDescent="0.3">
      <c r="A22" s="32" t="s">
        <v>10</v>
      </c>
      <c r="B22" s="53">
        <v>2</v>
      </c>
      <c r="C22" s="46">
        <v>409.55900000000003</v>
      </c>
      <c r="D22">
        <v>63.3</v>
      </c>
      <c r="E22">
        <f t="shared" ref="E22:E25" si="6">C22*D22</f>
        <v>25925.084699999999</v>
      </c>
      <c r="F22" s="34">
        <v>0.98023000000000005</v>
      </c>
    </row>
    <row r="23" spans="1:6" x14ac:dyDescent="0.3">
      <c r="A23" s="32" t="s">
        <v>10</v>
      </c>
      <c r="B23" s="53">
        <v>3</v>
      </c>
      <c r="C23" s="46">
        <v>410.44299999999998</v>
      </c>
      <c r="D23">
        <v>64.900000000000006</v>
      </c>
      <c r="E23">
        <f t="shared" si="6"/>
        <v>26637.750700000001</v>
      </c>
      <c r="F23" s="34">
        <v>0.98751999999999995</v>
      </c>
    </row>
    <row r="24" spans="1:6" x14ac:dyDescent="0.3">
      <c r="A24" s="32" t="s">
        <v>10</v>
      </c>
      <c r="B24" s="53">
        <v>4</v>
      </c>
      <c r="C24" s="46">
        <v>409.33699999999999</v>
      </c>
      <c r="D24">
        <v>64.2</v>
      </c>
      <c r="E24">
        <f t="shared" si="6"/>
        <v>26279.435400000002</v>
      </c>
      <c r="F24" s="34">
        <v>0.98323000000000005</v>
      </c>
    </row>
    <row r="25" spans="1:6" x14ac:dyDescent="0.3">
      <c r="A25" s="32" t="s">
        <v>10</v>
      </c>
      <c r="B25" s="53">
        <v>5</v>
      </c>
      <c r="C25" s="47">
        <v>409.60700000000003</v>
      </c>
      <c r="D25" s="48">
        <v>62.9</v>
      </c>
      <c r="E25" s="48">
        <f t="shared" si="6"/>
        <v>25764.280300000002</v>
      </c>
      <c r="F25" s="50">
        <v>0.98951999999999996</v>
      </c>
    </row>
    <row r="26" spans="1:6" x14ac:dyDescent="0.3">
      <c r="B26" s="22" t="s">
        <v>7</v>
      </c>
      <c r="C26" s="54">
        <f>AVERAGE(C21:C25)</f>
        <v>409.59179999999998</v>
      </c>
      <c r="D26" s="54">
        <f t="shared" ref="D26:F26" si="7">AVERAGE(D21:D25)</f>
        <v>63.679999999999993</v>
      </c>
      <c r="E26" s="54">
        <f t="shared" si="7"/>
        <v>26083.05428</v>
      </c>
      <c r="F26" s="55">
        <f t="shared" si="7"/>
        <v>0.98507</v>
      </c>
    </row>
    <row r="27" spans="1:6" x14ac:dyDescent="0.3">
      <c r="B27" s="23" t="s">
        <v>8</v>
      </c>
      <c r="C27" s="12">
        <f>_xlfn.STDEV.S(C21:C25)</f>
        <v>0.53051409029355756</v>
      </c>
      <c r="D27" s="12">
        <f t="shared" ref="D27:F27" si="8">_xlfn.STDEV.S(D21:D25)</f>
        <v>0.84380092438916232</v>
      </c>
      <c r="E27" s="12">
        <f t="shared" si="8"/>
        <v>370.16348880134291</v>
      </c>
      <c r="F27" s="52">
        <f t="shared" si="8"/>
        <v>3.6285189816231758E-3</v>
      </c>
    </row>
    <row r="28" spans="1:6" x14ac:dyDescent="0.3">
      <c r="A28" s="1"/>
    </row>
    <row r="29" spans="1:6" x14ac:dyDescent="0.3">
      <c r="A29" s="1"/>
    </row>
    <row r="30" spans="1:6" x14ac:dyDescent="0.3">
      <c r="A30" s="1"/>
    </row>
    <row r="31" spans="1:6" x14ac:dyDescent="0.3">
      <c r="A31" s="1"/>
    </row>
    <row r="32" spans="1:6" ht="43.5" customHeight="1" x14ac:dyDescent="0.3">
      <c r="A32" s="64" t="s">
        <v>11</v>
      </c>
      <c r="C32">
        <f>SUM(C7:C11,C14:C18,C21:C25)</f>
        <v>2277.585</v>
      </c>
    </row>
    <row r="33" spans="1:1" x14ac:dyDescent="0.3">
      <c r="A33" s="64"/>
    </row>
  </sheetData>
  <mergeCells count="1">
    <mergeCell ref="A32:A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66A4-8BBE-4748-9622-C7E984C0349B}">
  <dimension ref="A2:F33"/>
  <sheetViews>
    <sheetView tabSelected="1" topLeftCell="A5" zoomScale="111" workbookViewId="0">
      <selection activeCell="P10" sqref="P10"/>
    </sheetView>
  </sheetViews>
  <sheetFormatPr defaultRowHeight="14.4" x14ac:dyDescent="0.3"/>
  <cols>
    <col min="1" max="1" width="17" bestFit="1" customWidth="1"/>
    <col min="2" max="2" width="8.44140625" bestFit="1" customWidth="1"/>
    <col min="3" max="3" width="14.33203125" bestFit="1" customWidth="1"/>
    <col min="4" max="4" width="30.88671875" bestFit="1" customWidth="1"/>
    <col min="5" max="5" width="19" bestFit="1" customWidth="1"/>
    <col min="6" max="6" width="8.88671875" bestFit="1" customWidth="1"/>
  </cols>
  <sheetData>
    <row r="2" spans="1:6" x14ac:dyDescent="0.3">
      <c r="A2" s="26" t="s">
        <v>0</v>
      </c>
      <c r="B2" s="27">
        <v>40</v>
      </c>
    </row>
    <row r="6" spans="1:6" x14ac:dyDescent="0.3">
      <c r="B6" s="13" t="s">
        <v>1</v>
      </c>
      <c r="C6" s="14" t="s">
        <v>2</v>
      </c>
      <c r="D6" s="25" t="s">
        <v>3</v>
      </c>
      <c r="E6" s="14" t="s">
        <v>4</v>
      </c>
      <c r="F6" s="15" t="s">
        <v>5</v>
      </c>
    </row>
    <row r="7" spans="1:6" x14ac:dyDescent="0.3">
      <c r="A7" s="32" t="s">
        <v>6</v>
      </c>
      <c r="B7" s="16">
        <v>1</v>
      </c>
      <c r="C7" s="3">
        <v>113.994</v>
      </c>
      <c r="D7" s="3">
        <v>29.3</v>
      </c>
      <c r="E7" s="3">
        <f>C7*D7</f>
        <v>3340.0242000000003</v>
      </c>
      <c r="F7" s="4">
        <v>0.59211999999999998</v>
      </c>
    </row>
    <row r="8" spans="1:6" x14ac:dyDescent="0.3">
      <c r="A8" s="32" t="s">
        <v>6</v>
      </c>
      <c r="B8" s="17">
        <v>2</v>
      </c>
      <c r="C8">
        <v>114.295</v>
      </c>
      <c r="D8">
        <v>28.6</v>
      </c>
      <c r="E8">
        <f t="shared" ref="E8:E11" si="0">C8*D8</f>
        <v>3268.837</v>
      </c>
      <c r="F8" s="5">
        <v>0.59199999999999997</v>
      </c>
    </row>
    <row r="9" spans="1:6" x14ac:dyDescent="0.3">
      <c r="A9" s="32" t="s">
        <v>6</v>
      </c>
      <c r="B9" s="17">
        <v>3</v>
      </c>
      <c r="C9">
        <v>112.997</v>
      </c>
      <c r="D9">
        <v>29.6</v>
      </c>
      <c r="E9">
        <f t="shared" si="0"/>
        <v>3344.7112000000002</v>
      </c>
      <c r="F9" s="5">
        <v>0.59275999999999995</v>
      </c>
    </row>
    <row r="10" spans="1:6" x14ac:dyDescent="0.3">
      <c r="A10" s="32" t="s">
        <v>6</v>
      </c>
      <c r="B10" s="17">
        <v>4</v>
      </c>
      <c r="C10">
        <v>113.22499999999999</v>
      </c>
      <c r="D10">
        <v>28.7</v>
      </c>
      <c r="E10">
        <f t="shared" si="0"/>
        <v>3249.5574999999999</v>
      </c>
      <c r="F10" s="5">
        <v>0.59489999999999998</v>
      </c>
    </row>
    <row r="11" spans="1:6" x14ac:dyDescent="0.3">
      <c r="A11" s="32" t="s">
        <v>6</v>
      </c>
      <c r="B11" s="17">
        <v>5</v>
      </c>
      <c r="C11">
        <v>113.268</v>
      </c>
      <c r="D11">
        <v>28.4</v>
      </c>
      <c r="E11">
        <f t="shared" si="0"/>
        <v>3216.8111999999996</v>
      </c>
      <c r="F11" s="5">
        <v>0.57767999999999997</v>
      </c>
    </row>
    <row r="12" spans="1:6" x14ac:dyDescent="0.3">
      <c r="B12" s="18" t="s">
        <v>7</v>
      </c>
      <c r="C12" s="6">
        <f>AVERAGE(C7:C11)</f>
        <v>113.5558</v>
      </c>
      <c r="D12" s="6">
        <f t="shared" ref="D12:F12" si="1">AVERAGE(D7:D11)</f>
        <v>28.919999999999998</v>
      </c>
      <c r="E12" s="6">
        <f t="shared" si="1"/>
        <v>3283.9882200000002</v>
      </c>
      <c r="F12" s="7">
        <f t="shared" si="1"/>
        <v>0.58989200000000008</v>
      </c>
    </row>
    <row r="13" spans="1:6" x14ac:dyDescent="0.3">
      <c r="B13" s="19" t="s">
        <v>8</v>
      </c>
      <c r="C13" s="8">
        <f>_xlfn.STDEV.S(C7:C11)</f>
        <v>0.55743851678907286</v>
      </c>
      <c r="D13" s="8">
        <f t="shared" ref="D13:F13" si="2">_xlfn.STDEV.S(D7:D11)</f>
        <v>0.50695167422546383</v>
      </c>
      <c r="E13" s="8">
        <f t="shared" si="2"/>
        <v>56.469233477018513</v>
      </c>
      <c r="F13" s="9">
        <f t="shared" si="2"/>
        <v>6.9254256186894398E-3</v>
      </c>
    </row>
    <row r="14" spans="1:6" x14ac:dyDescent="0.3">
      <c r="A14" s="32" t="s">
        <v>9</v>
      </c>
      <c r="B14" s="17">
        <v>1</v>
      </c>
      <c r="C14">
        <v>95.852000000000004</v>
      </c>
      <c r="D14">
        <v>27.1</v>
      </c>
      <c r="E14">
        <f>C14*D14</f>
        <v>2597.5892000000003</v>
      </c>
      <c r="F14" s="5">
        <v>0.42558000000000001</v>
      </c>
    </row>
    <row r="15" spans="1:6" x14ac:dyDescent="0.3">
      <c r="A15" s="32" t="s">
        <v>9</v>
      </c>
      <c r="B15" s="17">
        <v>2</v>
      </c>
      <c r="C15">
        <v>95.81</v>
      </c>
      <c r="D15">
        <v>27.3</v>
      </c>
      <c r="E15">
        <f t="shared" ref="E15:E18" si="3">C15*D15</f>
        <v>2615.6130000000003</v>
      </c>
      <c r="F15" s="5">
        <v>0.4219</v>
      </c>
    </row>
    <row r="16" spans="1:6" x14ac:dyDescent="0.3">
      <c r="A16" s="32" t="s">
        <v>9</v>
      </c>
      <c r="B16" s="17">
        <v>3</v>
      </c>
      <c r="C16">
        <v>95.635999999999996</v>
      </c>
      <c r="D16">
        <v>27.5</v>
      </c>
      <c r="E16">
        <f t="shared" si="3"/>
        <v>2629.99</v>
      </c>
      <c r="F16" s="5">
        <v>0.42796000000000001</v>
      </c>
    </row>
    <row r="17" spans="1:6" x14ac:dyDescent="0.3">
      <c r="A17" s="32" t="s">
        <v>9</v>
      </c>
      <c r="B17" s="17">
        <v>4</v>
      </c>
      <c r="C17">
        <v>95.593999999999994</v>
      </c>
      <c r="D17">
        <v>28.2</v>
      </c>
      <c r="E17">
        <f t="shared" si="3"/>
        <v>2695.7507999999998</v>
      </c>
      <c r="F17" s="5">
        <v>0.43668000000000001</v>
      </c>
    </row>
    <row r="18" spans="1:6" x14ac:dyDescent="0.3">
      <c r="A18" s="32" t="s">
        <v>9</v>
      </c>
      <c r="B18" s="17">
        <v>5</v>
      </c>
      <c r="C18">
        <v>95.554000000000002</v>
      </c>
      <c r="D18">
        <v>27.7</v>
      </c>
      <c r="E18">
        <f t="shared" si="3"/>
        <v>2646.8458000000001</v>
      </c>
      <c r="F18" s="5">
        <v>0.42558000000000001</v>
      </c>
    </row>
    <row r="19" spans="1:6" x14ac:dyDescent="0.3">
      <c r="B19" s="18" t="s">
        <v>7</v>
      </c>
      <c r="C19" s="6">
        <f>AVERAGE(C14:C18)</f>
        <v>95.6892</v>
      </c>
      <c r="D19" s="6">
        <f t="shared" ref="D19:F19" si="4">AVERAGE(D14:D18)</f>
        <v>27.560000000000002</v>
      </c>
      <c r="E19" s="6">
        <f t="shared" si="4"/>
        <v>2637.1577599999996</v>
      </c>
      <c r="F19" s="36">
        <f t="shared" si="4"/>
        <v>0.42754000000000003</v>
      </c>
    </row>
    <row r="20" spans="1:6" x14ac:dyDescent="0.3">
      <c r="B20" s="19" t="s">
        <v>8</v>
      </c>
      <c r="C20" s="42">
        <f>_xlfn.STDEV.S(C14:C18)</f>
        <v>0.13348108480230714</v>
      </c>
      <c r="D20" s="42">
        <f t="shared" ref="D20:F20" si="5">_xlfn.STDEV.S(D14:D18)</f>
        <v>0.42190046219457894</v>
      </c>
      <c r="E20" s="42">
        <f t="shared" si="5"/>
        <v>37.44404780079185</v>
      </c>
      <c r="F20" s="43">
        <f t="shared" si="5"/>
        <v>5.5499729729071691E-3</v>
      </c>
    </row>
    <row r="21" spans="1:6" x14ac:dyDescent="0.3">
      <c r="A21" s="32" t="s">
        <v>10</v>
      </c>
      <c r="B21" s="41">
        <v>1</v>
      </c>
      <c r="C21" s="44">
        <v>2043.29</v>
      </c>
      <c r="D21" s="45">
        <v>64.400000000000006</v>
      </c>
      <c r="E21" s="45">
        <f>C21*D21</f>
        <v>131587.87600000002</v>
      </c>
      <c r="F21" s="49">
        <v>0.69606000000000001</v>
      </c>
    </row>
    <row r="22" spans="1:6" x14ac:dyDescent="0.3">
      <c r="A22" s="32" t="s">
        <v>10</v>
      </c>
      <c r="B22" s="41">
        <v>2</v>
      </c>
      <c r="C22" s="46">
        <v>2051.87</v>
      </c>
      <c r="D22">
        <v>63.8</v>
      </c>
      <c r="E22">
        <f t="shared" ref="E22:E25" si="6">C22*D22</f>
        <v>130909.30599999998</v>
      </c>
      <c r="F22" s="34">
        <v>0.70364000000000004</v>
      </c>
    </row>
    <row r="23" spans="1:6" x14ac:dyDescent="0.3">
      <c r="A23" s="32" t="s">
        <v>10</v>
      </c>
      <c r="B23" s="41">
        <v>3</v>
      </c>
      <c r="C23" s="46">
        <v>2055.1799999999998</v>
      </c>
      <c r="D23">
        <v>62.8</v>
      </c>
      <c r="E23">
        <f t="shared" si="6"/>
        <v>129065.30399999999</v>
      </c>
      <c r="F23" s="34">
        <v>0.71728000000000003</v>
      </c>
    </row>
    <row r="24" spans="1:6" x14ac:dyDescent="0.3">
      <c r="A24" s="32" t="s">
        <v>10</v>
      </c>
      <c r="B24" s="41">
        <v>4</v>
      </c>
      <c r="C24" s="46">
        <v>2051.59</v>
      </c>
      <c r="D24">
        <v>61.4</v>
      </c>
      <c r="E24">
        <f t="shared" si="6"/>
        <v>125967.626</v>
      </c>
      <c r="F24" s="34">
        <v>0.71479999999999999</v>
      </c>
    </row>
    <row r="25" spans="1:6" x14ac:dyDescent="0.3">
      <c r="A25" s="32" t="s">
        <v>10</v>
      </c>
      <c r="B25" s="41">
        <v>5</v>
      </c>
      <c r="C25" s="47">
        <v>2053.48</v>
      </c>
      <c r="D25" s="48">
        <v>61.2</v>
      </c>
      <c r="E25" s="48">
        <f t="shared" si="6"/>
        <v>125672.97600000001</v>
      </c>
      <c r="F25" s="50">
        <v>0.73358000000000001</v>
      </c>
    </row>
    <row r="26" spans="1:6" x14ac:dyDescent="0.3">
      <c r="B26" s="18" t="s">
        <v>7</v>
      </c>
      <c r="C26" s="42">
        <f>AVERAGE(C21:C25)</f>
        <v>2051.0819999999999</v>
      </c>
      <c r="D26" s="42">
        <f t="shared" ref="D26:F26" si="7">AVERAGE(D21:D25)</f>
        <v>62.720000000000006</v>
      </c>
      <c r="E26" s="42">
        <f t="shared" si="7"/>
        <v>128640.6176</v>
      </c>
      <c r="F26" s="43">
        <f t="shared" si="7"/>
        <v>0.71307200000000004</v>
      </c>
    </row>
    <row r="27" spans="1:6" x14ac:dyDescent="0.3">
      <c r="B27" s="19" t="s">
        <v>8</v>
      </c>
      <c r="C27" s="8">
        <f>_xlfn.STDEV.S(C21:C25)</f>
        <v>4.5863460401500253</v>
      </c>
      <c r="D27" s="8">
        <f t="shared" ref="D27:F27" si="8">_xlfn.STDEV.S(D21:D25)</f>
        <v>1.4184498581197722</v>
      </c>
      <c r="E27" s="8">
        <f t="shared" si="8"/>
        <v>2737.0339069296865</v>
      </c>
      <c r="F27" s="37">
        <f t="shared" si="8"/>
        <v>1.4314695945076859E-2</v>
      </c>
    </row>
    <row r="32" spans="1:6" x14ac:dyDescent="0.3">
      <c r="A32" s="64" t="s">
        <v>11</v>
      </c>
      <c r="C32">
        <f>SUM(C7:C11,C14:C18,C21:C25)</f>
        <v>11301.635</v>
      </c>
    </row>
    <row r="33" spans="1:1" ht="42.75" customHeight="1" x14ac:dyDescent="0.3">
      <c r="A33" s="64"/>
    </row>
  </sheetData>
  <mergeCells count="1">
    <mergeCell ref="A32:A33"/>
  </mergeCells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AD8A-BB72-41E4-8544-02A77C3204F0}">
  <dimension ref="A2:F33"/>
  <sheetViews>
    <sheetView topLeftCell="A14" zoomScale="93" workbookViewId="0">
      <selection activeCell="C32" sqref="C32"/>
    </sheetView>
  </sheetViews>
  <sheetFormatPr defaultRowHeight="14.4" x14ac:dyDescent="0.3"/>
  <cols>
    <col min="1" max="1" width="17" bestFit="1" customWidth="1"/>
    <col min="2" max="2" width="8.44140625" bestFit="1" customWidth="1"/>
    <col min="3" max="3" width="14.33203125" bestFit="1" customWidth="1"/>
    <col min="4" max="4" width="30.88671875" bestFit="1" customWidth="1"/>
    <col min="5" max="5" width="19" bestFit="1" customWidth="1"/>
    <col min="6" max="6" width="11.6640625" bestFit="1" customWidth="1"/>
  </cols>
  <sheetData>
    <row r="2" spans="1:6" x14ac:dyDescent="0.3">
      <c r="A2" s="26" t="s">
        <v>0</v>
      </c>
      <c r="B2" s="27">
        <v>100</v>
      </c>
    </row>
    <row r="6" spans="1:6" x14ac:dyDescent="0.3">
      <c r="B6" s="13" t="s">
        <v>1</v>
      </c>
      <c r="C6" s="14" t="s">
        <v>2</v>
      </c>
      <c r="D6" s="30" t="s">
        <v>3</v>
      </c>
      <c r="E6" s="31" t="s">
        <v>4</v>
      </c>
      <c r="F6" s="15" t="s">
        <v>5</v>
      </c>
    </row>
    <row r="7" spans="1:6" x14ac:dyDescent="0.3">
      <c r="A7" s="32" t="s">
        <v>6</v>
      </c>
      <c r="B7" s="16">
        <v>1</v>
      </c>
      <c r="C7" s="3">
        <v>285.76100000000002</v>
      </c>
      <c r="D7">
        <v>27.9</v>
      </c>
      <c r="E7" s="56">
        <f>C7*D7</f>
        <v>7972.7319000000007</v>
      </c>
      <c r="F7" s="4">
        <v>0.21504000000000001</v>
      </c>
    </row>
    <row r="8" spans="1:6" x14ac:dyDescent="0.3">
      <c r="A8" s="32" t="s">
        <v>6</v>
      </c>
      <c r="B8" s="17">
        <v>2</v>
      </c>
      <c r="C8">
        <v>287.02699999999999</v>
      </c>
      <c r="D8">
        <v>28.4</v>
      </c>
      <c r="E8" s="56">
        <f t="shared" ref="E8:E11" si="0">C8*D8</f>
        <v>8151.5667999999996</v>
      </c>
      <c r="F8" s="5">
        <v>0.20785999999999999</v>
      </c>
    </row>
    <row r="9" spans="1:6" x14ac:dyDescent="0.3">
      <c r="A9" s="32" t="s">
        <v>6</v>
      </c>
      <c r="B9" s="17">
        <v>3</v>
      </c>
      <c r="C9">
        <v>286.23</v>
      </c>
      <c r="D9">
        <v>29.3</v>
      </c>
      <c r="E9" s="56">
        <f t="shared" si="0"/>
        <v>8386.5390000000007</v>
      </c>
      <c r="F9" s="5">
        <v>0.20391999999999999</v>
      </c>
    </row>
    <row r="10" spans="1:6" x14ac:dyDescent="0.3">
      <c r="A10" s="32" t="s">
        <v>6</v>
      </c>
      <c r="B10" s="17">
        <v>4</v>
      </c>
      <c r="C10">
        <v>284.58600000000001</v>
      </c>
      <c r="D10">
        <v>29.1</v>
      </c>
      <c r="E10" s="56">
        <f t="shared" si="0"/>
        <v>8281.4526000000005</v>
      </c>
      <c r="F10" s="5">
        <v>0.2059</v>
      </c>
    </row>
    <row r="11" spans="1:6" x14ac:dyDescent="0.3">
      <c r="A11" s="32" t="s">
        <v>6</v>
      </c>
      <c r="B11" s="17">
        <v>5</v>
      </c>
      <c r="C11">
        <v>285.43900000000002</v>
      </c>
      <c r="D11">
        <v>29.6</v>
      </c>
      <c r="E11" s="56">
        <f t="shared" si="0"/>
        <v>8448.9944000000014</v>
      </c>
      <c r="F11" s="5">
        <v>0.20172000000000001</v>
      </c>
    </row>
    <row r="12" spans="1:6" x14ac:dyDescent="0.3">
      <c r="B12" s="18" t="s">
        <v>7</v>
      </c>
      <c r="C12" s="6">
        <f>AVERAGE(C7:C11)</f>
        <v>285.80860000000001</v>
      </c>
      <c r="D12" s="6">
        <f t="shared" ref="D12:F12" si="1">AVERAGE(D7:D11)</f>
        <v>28.859999999999996</v>
      </c>
      <c r="E12" s="57">
        <f t="shared" si="1"/>
        <v>8248.2569400000011</v>
      </c>
      <c r="F12" s="7">
        <f t="shared" si="1"/>
        <v>0.20688800000000002</v>
      </c>
    </row>
    <row r="13" spans="1:6" x14ac:dyDescent="0.3">
      <c r="B13" s="19" t="s">
        <v>8</v>
      </c>
      <c r="C13" s="8">
        <f>_xlfn.STDEV.S(C7:C11)</f>
        <v>0.90770275971817094</v>
      </c>
      <c r="D13" s="8">
        <f t="shared" ref="D13:F13" si="2">_xlfn.STDEV.S(D7:D11)</f>
        <v>0.69498201415576355</v>
      </c>
      <c r="E13" s="58">
        <f t="shared" si="2"/>
        <v>190.90733265654865</v>
      </c>
      <c r="F13" s="9">
        <f t="shared" si="2"/>
        <v>5.0964026528523059E-3</v>
      </c>
    </row>
    <row r="14" spans="1:6" x14ac:dyDescent="0.3">
      <c r="A14" s="32" t="s">
        <v>9</v>
      </c>
      <c r="B14" s="17">
        <v>1</v>
      </c>
      <c r="C14">
        <v>236.21299999999999</v>
      </c>
      <c r="D14">
        <v>28.1</v>
      </c>
      <c r="E14" s="56">
        <f>C14*D14</f>
        <v>6637.5852999999997</v>
      </c>
      <c r="F14" s="5">
        <v>0.14152000000000001</v>
      </c>
    </row>
    <row r="15" spans="1:6" x14ac:dyDescent="0.3">
      <c r="A15" s="32" t="s">
        <v>9</v>
      </c>
      <c r="B15" s="17">
        <v>2</v>
      </c>
      <c r="C15">
        <v>237.91800000000001</v>
      </c>
      <c r="D15">
        <v>28</v>
      </c>
      <c r="E15" s="56">
        <f t="shared" ref="E15:E18" si="3">C15*D15</f>
        <v>6661.7039999999997</v>
      </c>
      <c r="F15" s="5">
        <v>0.14566000000000001</v>
      </c>
    </row>
    <row r="16" spans="1:6" x14ac:dyDescent="0.3">
      <c r="A16" s="32" t="s">
        <v>9</v>
      </c>
      <c r="B16" s="17">
        <v>3</v>
      </c>
      <c r="C16">
        <v>235.322</v>
      </c>
      <c r="D16">
        <v>26.7</v>
      </c>
      <c r="E16" s="56">
        <f t="shared" si="3"/>
        <v>6283.0973999999997</v>
      </c>
      <c r="F16" s="5">
        <v>0.1484</v>
      </c>
    </row>
    <row r="17" spans="1:6" x14ac:dyDescent="0.3">
      <c r="A17" s="32" t="s">
        <v>9</v>
      </c>
      <c r="B17" s="17">
        <v>4</v>
      </c>
      <c r="C17">
        <v>237.607</v>
      </c>
      <c r="D17">
        <v>27.9</v>
      </c>
      <c r="E17" s="56">
        <f t="shared" si="3"/>
        <v>6629.2352999999994</v>
      </c>
      <c r="F17" s="5">
        <v>0.15104000000000001</v>
      </c>
    </row>
    <row r="18" spans="1:6" x14ac:dyDescent="0.3">
      <c r="A18" s="32" t="s">
        <v>9</v>
      </c>
      <c r="B18" s="17">
        <v>5</v>
      </c>
      <c r="C18">
        <v>235.84100000000001</v>
      </c>
      <c r="D18">
        <v>27.5</v>
      </c>
      <c r="E18" s="56">
        <f t="shared" si="3"/>
        <v>6485.6275000000005</v>
      </c>
      <c r="F18" s="5">
        <v>0.15068000000000001</v>
      </c>
    </row>
    <row r="19" spans="1:6" x14ac:dyDescent="0.3">
      <c r="B19" s="18" t="s">
        <v>7</v>
      </c>
      <c r="C19" s="6">
        <f>AVERAGE(C14:C18)</f>
        <v>236.58019999999996</v>
      </c>
      <c r="D19" s="6">
        <f t="shared" ref="D19:F19" si="4">AVERAGE(D14:D18)</f>
        <v>27.639999999999997</v>
      </c>
      <c r="E19" s="57">
        <f t="shared" si="4"/>
        <v>6539.4498999999996</v>
      </c>
      <c r="F19" s="36">
        <f t="shared" si="4"/>
        <v>0.14745999999999998</v>
      </c>
    </row>
    <row r="20" spans="1:6" x14ac:dyDescent="0.3">
      <c r="B20" s="19" t="s">
        <v>8</v>
      </c>
      <c r="C20" s="8">
        <f>_xlfn.STDEV.S(C14:C18)</f>
        <v>1.1300826075999932</v>
      </c>
      <c r="D20" s="8">
        <f t="shared" ref="D20:F20" si="5">_xlfn.STDEV.S(D14:D18)</f>
        <v>0.57271284253105448</v>
      </c>
      <c r="E20" s="58">
        <f t="shared" si="5"/>
        <v>159.10020015004687</v>
      </c>
      <c r="F20" s="37">
        <f t="shared" si="5"/>
        <v>3.9557553008243568E-3</v>
      </c>
    </row>
    <row r="21" spans="1:6" x14ac:dyDescent="0.3">
      <c r="A21" s="32" t="s">
        <v>10</v>
      </c>
      <c r="B21" s="17">
        <v>1</v>
      </c>
      <c r="C21">
        <v>5112.71</v>
      </c>
      <c r="D21">
        <v>65.3</v>
      </c>
      <c r="E21" s="56">
        <f>C21*D21</f>
        <v>333859.96299999999</v>
      </c>
      <c r="F21" s="5">
        <v>0.31286000000000003</v>
      </c>
    </row>
    <row r="22" spans="1:6" x14ac:dyDescent="0.3">
      <c r="A22" s="32" t="s">
        <v>10</v>
      </c>
      <c r="B22" s="17">
        <v>2</v>
      </c>
      <c r="C22">
        <v>5120.29</v>
      </c>
      <c r="D22">
        <v>63.7</v>
      </c>
      <c r="E22" s="56">
        <f t="shared" ref="E22:E25" si="6">C22*D22</f>
        <v>326162.473</v>
      </c>
      <c r="F22" s="34">
        <v>0.32181999999999999</v>
      </c>
    </row>
    <row r="23" spans="1:6" x14ac:dyDescent="0.3">
      <c r="A23" s="32" t="s">
        <v>10</v>
      </c>
      <c r="B23" s="17">
        <v>3</v>
      </c>
      <c r="C23">
        <v>5110.3599999999997</v>
      </c>
      <c r="D23">
        <v>66.599999999999994</v>
      </c>
      <c r="E23" s="56">
        <f t="shared" si="6"/>
        <v>340349.97599999997</v>
      </c>
      <c r="F23" s="34">
        <v>0.3165</v>
      </c>
    </row>
    <row r="24" spans="1:6" x14ac:dyDescent="0.3">
      <c r="A24" s="32" t="s">
        <v>10</v>
      </c>
      <c r="B24" s="17">
        <v>4</v>
      </c>
      <c r="C24">
        <v>5111.1000000000004</v>
      </c>
      <c r="D24">
        <v>62.4</v>
      </c>
      <c r="E24" s="56">
        <f t="shared" si="6"/>
        <v>318932.64</v>
      </c>
      <c r="F24" s="34">
        <v>0.33235999999999999</v>
      </c>
    </row>
    <row r="25" spans="1:6" x14ac:dyDescent="0.3">
      <c r="A25" s="32" t="s">
        <v>10</v>
      </c>
      <c r="B25" s="17">
        <v>5</v>
      </c>
      <c r="C25">
        <v>5107.63</v>
      </c>
      <c r="D25">
        <v>60.7</v>
      </c>
      <c r="E25" s="56">
        <f t="shared" si="6"/>
        <v>310033.141</v>
      </c>
      <c r="F25" s="35">
        <v>0.31991999999999998</v>
      </c>
    </row>
    <row r="26" spans="1:6" x14ac:dyDescent="0.3">
      <c r="B26" s="18" t="s">
        <v>7</v>
      </c>
      <c r="C26" s="6">
        <f>AVERAGE(C21:C25)</f>
        <v>5112.4179999999997</v>
      </c>
      <c r="D26" s="6">
        <f>AVERAGE(D21:D25)</f>
        <v>63.739999999999995</v>
      </c>
      <c r="E26" s="57">
        <f t="shared" ref="E26:F26" si="7">AVERAGE(E21:E25)</f>
        <v>325867.63860000006</v>
      </c>
      <c r="F26" s="36">
        <f t="shared" si="7"/>
        <v>0.32069199999999998</v>
      </c>
    </row>
    <row r="27" spans="1:6" x14ac:dyDescent="0.3">
      <c r="B27" s="19" t="s">
        <v>8</v>
      </c>
      <c r="C27" s="8">
        <f>_xlfn.STDEV.S(C21:C25)</f>
        <v>4.7684137823808559</v>
      </c>
      <c r="D27" s="8">
        <f>_xlfn.STDEV.S(D21:D25)</f>
        <v>2.3265854809140336</v>
      </c>
      <c r="E27" s="58">
        <f t="shared" ref="E27:F27" si="8">_xlfn.STDEV.S(E21:E25)</f>
        <v>11963.776504851048</v>
      </c>
      <c r="F27" s="37">
        <f t="shared" si="8"/>
        <v>7.3641645826257734E-3</v>
      </c>
    </row>
    <row r="32" spans="1:6" ht="15" customHeight="1" x14ac:dyDescent="0.3">
      <c r="A32" s="64" t="s">
        <v>11</v>
      </c>
      <c r="C32">
        <f>SUM(C7:C11,C14:C18,C21:C25)</f>
        <v>28174.034000000003</v>
      </c>
    </row>
    <row r="33" spans="1:1" ht="41.25" customHeight="1" x14ac:dyDescent="0.3">
      <c r="A33" s="64"/>
    </row>
  </sheetData>
  <mergeCells count="1">
    <mergeCell ref="A32:A3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954117-6674-45E3-9F2E-3CE310811A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MNIST</vt:lpstr>
      <vt:lpstr>CIFAR10</vt:lpstr>
      <vt:lpstr>CIFAR100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Muñiz de las Casas</dc:creator>
  <cp:keywords/>
  <dc:description/>
  <cp:lastModifiedBy>Diego Muñiz de las Casas</cp:lastModifiedBy>
  <cp:revision/>
  <dcterms:created xsi:type="dcterms:W3CDTF">2025-04-03T06:04:18Z</dcterms:created>
  <dcterms:modified xsi:type="dcterms:W3CDTF">2025-05-02T17:22:09Z</dcterms:modified>
  <cp:category/>
  <cp:contentStatus/>
</cp:coreProperties>
</file>